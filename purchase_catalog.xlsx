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Master" sheetId="1" r:id="rId5"/>
  </sheets>
  <definedNames>
    <definedName localSheetId="0" name="菜品资料">'Item Master'!$B$4:$D$119</definedName>
  </definedNames>
  <calcPr/>
</workbook>
</file>

<file path=xl/sharedStrings.xml><?xml version="1.0" encoding="utf-8"?>
<sst xmlns="http://schemas.openxmlformats.org/spreadsheetml/2006/main" count="560" uniqueCount="303">
  <si>
    <t>Procurement information cross-reference table</t>
  </si>
  <si>
    <t>序号</t>
  </si>
  <si>
    <t>菜品（马来语）</t>
  </si>
  <si>
    <t>菜品（中文）</t>
  </si>
  <si>
    <t>商品类别</t>
  </si>
  <si>
    <t>单位</t>
  </si>
  <si>
    <t>供应商</t>
  </si>
  <si>
    <t>Sawi</t>
  </si>
  <si>
    <t>菜心</t>
  </si>
  <si>
    <t>Frt &amp; Veg/蔬果</t>
  </si>
  <si>
    <t>bag / 袋</t>
  </si>
  <si>
    <t>Pucuk Ubi</t>
  </si>
  <si>
    <t>番薯叶</t>
  </si>
  <si>
    <t>Kangkung</t>
  </si>
  <si>
    <t>空心菜</t>
  </si>
  <si>
    <t>Romaine Lettuce</t>
  </si>
  <si>
    <t>小油麦</t>
  </si>
  <si>
    <t>kg / 公斤</t>
  </si>
  <si>
    <t>Baby Pak Choi</t>
  </si>
  <si>
    <t>小白菜</t>
  </si>
  <si>
    <t>Kucai</t>
  </si>
  <si>
    <t>韭菜</t>
  </si>
  <si>
    <t>Peria</t>
  </si>
  <si>
    <t>苦瓜</t>
  </si>
  <si>
    <t>Terung / Eggplant</t>
  </si>
  <si>
    <t>茄子</t>
  </si>
  <si>
    <t>Timun/Cucumber</t>
  </si>
  <si>
    <t>本地青瓜</t>
  </si>
  <si>
    <t>Japan Timun/Cucumber</t>
  </si>
  <si>
    <t>日本青瓜</t>
  </si>
  <si>
    <t>Capsicum green</t>
  </si>
  <si>
    <t>大青椒</t>
  </si>
  <si>
    <t>Cili merah</t>
  </si>
  <si>
    <t>红辣椒</t>
  </si>
  <si>
    <t>Brokoli</t>
  </si>
  <si>
    <t>西兰花</t>
  </si>
  <si>
    <t>Tomato</t>
  </si>
  <si>
    <t>西红柿</t>
  </si>
  <si>
    <t>Kentang/Potato</t>
  </si>
  <si>
    <t>土豆</t>
  </si>
  <si>
    <t>Kubis Cina</t>
  </si>
  <si>
    <t>白菜</t>
  </si>
  <si>
    <t>Bendi/Okra</t>
  </si>
  <si>
    <t>秋葵/羊角豆</t>
  </si>
  <si>
    <t>Lobak merah</t>
  </si>
  <si>
    <t>胡萝卜</t>
  </si>
  <si>
    <t>Lobak putih/Radish</t>
  </si>
  <si>
    <t>白萝卜</t>
  </si>
  <si>
    <t>Kacang panjang</t>
  </si>
  <si>
    <t>四季豆</t>
  </si>
  <si>
    <t>Tauge/bean sprouts</t>
  </si>
  <si>
    <t>豆芽</t>
  </si>
  <si>
    <t>Jagung</t>
  </si>
  <si>
    <t>玉米</t>
  </si>
  <si>
    <t>pack / 包</t>
  </si>
  <si>
    <t>Ubi keledek</t>
  </si>
  <si>
    <t>红薯</t>
  </si>
  <si>
    <t>Nanas</t>
  </si>
  <si>
    <t>黄梨</t>
  </si>
  <si>
    <t>Daun ketumbar/Coriander</t>
  </si>
  <si>
    <t>香菜</t>
  </si>
  <si>
    <t>Celery / Daun Seleri</t>
  </si>
  <si>
    <t>芹菜</t>
  </si>
  <si>
    <t>Daun bawang kecil</t>
  </si>
  <si>
    <t>小青葱</t>
  </si>
  <si>
    <t>Daun bawang besar</t>
  </si>
  <si>
    <t>大青葱</t>
  </si>
  <si>
    <t>Cili padi</t>
  </si>
  <si>
    <t>小辣椒</t>
  </si>
  <si>
    <t>Halia</t>
  </si>
  <si>
    <t>姜</t>
  </si>
  <si>
    <t>Bawang putih</t>
  </si>
  <si>
    <t>蒜</t>
  </si>
  <si>
    <t>Limau</t>
  </si>
  <si>
    <t>柠檬</t>
  </si>
  <si>
    <t>Limau Kasturi</t>
  </si>
  <si>
    <t>桔仔</t>
  </si>
  <si>
    <t>Avokado</t>
  </si>
  <si>
    <t>牛油果</t>
  </si>
  <si>
    <t>Pisang</t>
  </si>
  <si>
    <t>香蕉</t>
  </si>
  <si>
    <t>Frt &amp; veg /蔬果</t>
  </si>
  <si>
    <t>Winter melon</t>
  </si>
  <si>
    <t>冬瓜</t>
  </si>
  <si>
    <t>Cherry Tomato</t>
  </si>
  <si>
    <t>樱桃番茄</t>
  </si>
  <si>
    <t>Papaya</t>
  </si>
  <si>
    <t>木瓜</t>
  </si>
  <si>
    <t>Cendawan Hitam</t>
  </si>
  <si>
    <t>木耳</t>
  </si>
  <si>
    <t>菠萝</t>
  </si>
  <si>
    <t>Bihun kaca / Vermicelli</t>
  </si>
  <si>
    <t>粉丝</t>
  </si>
  <si>
    <t>Proc/加工类</t>
  </si>
  <si>
    <t>Tauhu Putih</t>
  </si>
  <si>
    <t>白豆腐</t>
  </si>
  <si>
    <t>pcs / 个</t>
  </si>
  <si>
    <t>Tauhu kering</t>
  </si>
  <si>
    <t>豆干</t>
  </si>
  <si>
    <t>Fucuk</t>
  </si>
  <si>
    <t>腐竹</t>
  </si>
  <si>
    <t>Cendawan shiitake</t>
  </si>
  <si>
    <t>香菇</t>
  </si>
  <si>
    <t>Beras</t>
  </si>
  <si>
    <t>香米</t>
  </si>
  <si>
    <t>Staple/主食类</t>
  </si>
  <si>
    <t>Nasi pekerja</t>
  </si>
  <si>
    <t>员工米</t>
  </si>
  <si>
    <t xml:space="preserve"> Tuaran Mee</t>
  </si>
  <si>
    <t>斗亚兰面</t>
  </si>
  <si>
    <t>Kulit wantan</t>
  </si>
  <si>
    <t>馄饨皮</t>
  </si>
  <si>
    <t xml:space="preserve">　</t>
  </si>
  <si>
    <t>Flour</t>
  </si>
  <si>
    <t>面粉</t>
  </si>
  <si>
    <t>Telur</t>
  </si>
  <si>
    <t>鸡蛋</t>
  </si>
  <si>
    <t>Egg/蛋类</t>
  </si>
  <si>
    <t>tray / 托盘</t>
  </si>
  <si>
    <t>Telur masin</t>
  </si>
  <si>
    <t>咸鸭蛋</t>
  </si>
  <si>
    <t>Pidan</t>
  </si>
  <si>
    <t>皮蛋</t>
  </si>
  <si>
    <t>box / 盒</t>
  </si>
  <si>
    <t>Daun kari</t>
  </si>
  <si>
    <t>咖喱叶</t>
  </si>
  <si>
    <t>Cond/调料</t>
  </si>
  <si>
    <t>bundle / 扎</t>
  </si>
  <si>
    <t>Bawang Merah Besar</t>
  </si>
  <si>
    <t>大红葱</t>
  </si>
  <si>
    <t>Bawang putih hoaland besar</t>
  </si>
  <si>
    <t>白洋葱</t>
  </si>
  <si>
    <t>Cili kering</t>
  </si>
  <si>
    <t>干辣椒</t>
  </si>
  <si>
    <t>Lada Sichuan</t>
  </si>
  <si>
    <t>花椒</t>
  </si>
  <si>
    <t>Serbuk lada Sichuan</t>
  </si>
  <si>
    <t>花椒粉</t>
  </si>
  <si>
    <t xml:space="preserve">White pepper </t>
  </si>
  <si>
    <t>白胡椒粉</t>
  </si>
  <si>
    <t>bottle / 瓶</t>
  </si>
  <si>
    <t xml:space="preserve">Tepung jagung </t>
  </si>
  <si>
    <t>玉米淀粉</t>
  </si>
  <si>
    <t>Taucu hitam</t>
  </si>
  <si>
    <t>豆豉</t>
  </si>
  <si>
    <t>Kulit kayu manis</t>
  </si>
  <si>
    <t>桂皮</t>
  </si>
  <si>
    <t>Bai Zhi (jarang diterjemah)</t>
  </si>
  <si>
    <t>白芷</t>
  </si>
  <si>
    <t>Daun bay</t>
  </si>
  <si>
    <t>香叶</t>
  </si>
  <si>
    <t>Bunga lawang</t>
  </si>
  <si>
    <t>八角</t>
  </si>
  <si>
    <t>Sayur asin Cina</t>
  </si>
  <si>
    <t>冬菜</t>
  </si>
  <si>
    <t>Cili jeruk</t>
  </si>
  <si>
    <t>泡椒</t>
  </si>
  <si>
    <t>Sayur jeruk Sichuan</t>
  </si>
  <si>
    <t>四川酸菜</t>
  </si>
  <si>
    <t>Pes kacang pedas</t>
  </si>
  <si>
    <t>豆瓣酱</t>
  </si>
  <si>
    <t>Sos Chu Hou</t>
  </si>
  <si>
    <t>柱侯酱</t>
  </si>
  <si>
    <t>Sos ayam panggang</t>
  </si>
  <si>
    <t>鸡煲酱</t>
  </si>
  <si>
    <t>Tomato Ketchup</t>
  </si>
  <si>
    <t>西红柿酱</t>
  </si>
  <si>
    <t>Kicap cair untuk stim ikan</t>
  </si>
  <si>
    <t>蒸鱼豉油</t>
  </si>
  <si>
    <t>Sos tiram</t>
  </si>
  <si>
    <t>蚝油</t>
  </si>
  <si>
    <t>Pes kacang soya</t>
  </si>
  <si>
    <t>黄豆酱</t>
  </si>
  <si>
    <t>Kicap Cair</t>
  </si>
  <si>
    <t>生抽</t>
  </si>
  <si>
    <t>Kicap Pekat</t>
  </si>
  <si>
    <t>老抽</t>
  </si>
  <si>
    <t>Karamel Masakan</t>
  </si>
  <si>
    <t>晒油</t>
  </si>
  <si>
    <t>Cuka hitam</t>
  </si>
  <si>
    <t>黑醋</t>
  </si>
  <si>
    <t>Cuka putih</t>
  </si>
  <si>
    <t>白醋</t>
  </si>
  <si>
    <t>Minyak bijan</t>
  </si>
  <si>
    <t>芝麻油</t>
  </si>
  <si>
    <t>Minyak masak</t>
  </si>
  <si>
    <t>食用油</t>
  </si>
  <si>
    <t>Minyak lada Sichuan</t>
  </si>
  <si>
    <t>花椒油</t>
  </si>
  <si>
    <t>Cooking Shao Hsing Jiu</t>
  </si>
  <si>
    <t>绍兴花雕酒</t>
  </si>
  <si>
    <t>Garam</t>
  </si>
  <si>
    <t>盐</t>
  </si>
  <si>
    <t>Serbuk pati ayam</t>
  </si>
  <si>
    <t>鸡精</t>
  </si>
  <si>
    <t>Monosodium glutamat</t>
  </si>
  <si>
    <t>味精</t>
  </si>
  <si>
    <t>Gula putih</t>
  </si>
  <si>
    <t>白糖</t>
  </si>
  <si>
    <t>Gula batu</t>
  </si>
  <si>
    <t>冰糖</t>
  </si>
  <si>
    <t>Bawang putih goreng</t>
  </si>
  <si>
    <t>炸香蒜</t>
  </si>
  <si>
    <t>Kurma merah Cina</t>
  </si>
  <si>
    <t>红枣</t>
  </si>
  <si>
    <t>Goji berry</t>
  </si>
  <si>
    <t>枸杞</t>
  </si>
  <si>
    <t>Seaweed</t>
  </si>
  <si>
    <t>紫菜</t>
  </si>
  <si>
    <t>Serai</t>
  </si>
  <si>
    <t>香茅</t>
  </si>
  <si>
    <t>Daun Pandan</t>
  </si>
  <si>
    <t>斑斓叶</t>
  </si>
  <si>
    <t>Honey</t>
  </si>
  <si>
    <t>蜂蜜</t>
  </si>
  <si>
    <t>Kacang tanah</t>
  </si>
  <si>
    <t>花生</t>
  </si>
  <si>
    <t>Ikan bilis</t>
  </si>
  <si>
    <t>江鱼仔</t>
  </si>
  <si>
    <t>Seafood/海鲜</t>
  </si>
  <si>
    <t>Ikan</t>
  </si>
  <si>
    <t>鱼</t>
  </si>
  <si>
    <t>Ikan - makanan pekerja</t>
  </si>
  <si>
    <t>鱼-员工餐</t>
  </si>
  <si>
    <t>Udang</t>
  </si>
  <si>
    <t>虾</t>
  </si>
  <si>
    <t>Isi udang</t>
  </si>
  <si>
    <t>虾仁</t>
  </si>
  <si>
    <t>Crab meat</t>
  </si>
  <si>
    <t>蟹肉</t>
  </si>
  <si>
    <t>Ketam</t>
  </si>
  <si>
    <t>螃蟹</t>
  </si>
  <si>
    <t>Kepak ayam</t>
  </si>
  <si>
    <t>鸡翅</t>
  </si>
  <si>
    <t>Meat/肉类</t>
  </si>
  <si>
    <t>Paha ayam</t>
  </si>
  <si>
    <t>鸡腿</t>
  </si>
  <si>
    <t>Kaki ayam</t>
  </si>
  <si>
    <t>鸡脚</t>
  </si>
  <si>
    <t>Dada ayam</t>
  </si>
  <si>
    <t>鸡胸</t>
  </si>
  <si>
    <t>Rangka ayam</t>
  </si>
  <si>
    <t>鸡骨架</t>
  </si>
  <si>
    <t>Daging perut lembu</t>
  </si>
  <si>
    <t>牛腩</t>
  </si>
  <si>
    <t>Urat keting</t>
  </si>
  <si>
    <t>牛筋</t>
  </si>
  <si>
    <t>Perut lembu</t>
  </si>
  <si>
    <t>牛肚</t>
  </si>
  <si>
    <t>Tulang lembu</t>
  </si>
  <si>
    <t>牛骨</t>
  </si>
  <si>
    <t>Beef manis</t>
  </si>
  <si>
    <t>牛里脊</t>
  </si>
  <si>
    <t>Daging kambing</t>
  </si>
  <si>
    <t>羊肉</t>
  </si>
  <si>
    <t>Paha Kambing</t>
  </si>
  <si>
    <t>羊腿</t>
  </si>
  <si>
    <t>Gas</t>
  </si>
  <si>
    <t>燃气</t>
  </si>
  <si>
    <t>其他杂项</t>
  </si>
  <si>
    <t>pail / 桶</t>
  </si>
  <si>
    <t>Tiger</t>
  </si>
  <si>
    <t>虎牌啤酒</t>
  </si>
  <si>
    <t>酒水</t>
  </si>
  <si>
    <t>carton / 箱</t>
  </si>
  <si>
    <t>Spritzer</t>
  </si>
  <si>
    <t>矿泉水</t>
  </si>
  <si>
    <t>Coca Cola</t>
  </si>
  <si>
    <t>可乐</t>
  </si>
  <si>
    <t>Coca-Cola Zero</t>
  </si>
  <si>
    <t>零度可乐</t>
  </si>
  <si>
    <t>Vanilla Cola</t>
  </si>
  <si>
    <t>香草可乐</t>
  </si>
  <si>
    <t>Sprite</t>
  </si>
  <si>
    <t>雪碧</t>
  </si>
  <si>
    <t>100 Plus</t>
  </si>
  <si>
    <t>Jia Duo Bao</t>
  </si>
  <si>
    <t>加多宝</t>
  </si>
  <si>
    <t>Chinese Tea</t>
  </si>
  <si>
    <t>中国茶</t>
  </si>
  <si>
    <t>Mop</t>
  </si>
  <si>
    <t>拖把</t>
  </si>
  <si>
    <t>Food pouch / Beg makanan</t>
  </si>
  <si>
    <t>食品包装袋</t>
  </si>
  <si>
    <t>一次性用品</t>
  </si>
  <si>
    <t>Trash bag / beg sampah</t>
  </si>
  <si>
    <t>垃圾袋</t>
  </si>
  <si>
    <t>Plastic Bag</t>
  </si>
  <si>
    <t>打包袋</t>
  </si>
  <si>
    <t>Deep Rectangular Container</t>
  </si>
  <si>
    <t>深长方型打包盒</t>
  </si>
  <si>
    <t>Round Takeaway Container</t>
  </si>
  <si>
    <t>圆打包盒</t>
  </si>
  <si>
    <t>Large Claypot Container</t>
  </si>
  <si>
    <t>大份砂锅打包盒</t>
  </si>
  <si>
    <t>Sabun Pencuci Pinggan</t>
  </si>
  <si>
    <t>洗碗水</t>
  </si>
  <si>
    <t>Serbuk pencuci</t>
  </si>
  <si>
    <t>洗衣粉</t>
  </si>
  <si>
    <t>Clorox Bleach</t>
  </si>
  <si>
    <t>clorox 漂白剂</t>
  </si>
  <si>
    <t>Racun perosak</t>
  </si>
  <si>
    <t>杀虫剂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</si>
</sst>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M]#,##0.00"/>
  </numFmts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5">
    <border/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7" fillId="0" fontId="3" numFmtId="164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readingOrder="0" vertical="center"/>
    </xf>
    <xf borderId="18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16" fillId="0" fontId="3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vertical="center"/>
    </xf>
    <xf borderId="11" fillId="0" fontId="3" numFmtId="164" xfId="0" applyAlignment="1" applyBorder="1" applyFont="1" applyNumberFormat="1">
      <alignment horizontal="center" readingOrder="0" vertical="center"/>
    </xf>
    <xf borderId="21" fillId="0" fontId="3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center" readingOrder="0" vertical="center"/>
    </xf>
    <xf borderId="21" fillId="0" fontId="3" numFmtId="164" xfId="0" applyAlignment="1" applyBorder="1" applyFont="1" applyNumberFormat="1">
      <alignment horizontal="center" readingOrder="0" vertical="center"/>
    </xf>
    <xf borderId="2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2" fontId="3" numFmtId="0" xfId="0" applyAlignment="1" applyFill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5.25"/>
    <col customWidth="1" min="3" max="3" width="14.5"/>
    <col customWidth="1" min="4" max="4" width="18.38"/>
    <col customWidth="1" min="5" max="5" width="15.63"/>
    <col customWidth="1" min="6" max="6" width="19.75"/>
    <col customWidth="1" min="7" max="7" width="19.5"/>
    <col customWidth="1" min="8" max="8" width="19.38"/>
    <col customWidth="1" min="9" max="9" width="17.88"/>
    <col customWidth="1" min="10" max="10" width="16.63"/>
  </cols>
  <sheetData>
    <row r="1" ht="29.25" customHeight="1">
      <c r="A1" s="1"/>
      <c r="B1" s="1"/>
      <c r="C1" s="1"/>
      <c r="D1" s="1"/>
      <c r="E1" s="1"/>
      <c r="F1" s="1"/>
      <c r="G1" s="1"/>
      <c r="H1" s="1"/>
    </row>
    <row r="2" ht="29.25" customHeight="1">
      <c r="A2" s="1" t="s">
        <v>0</v>
      </c>
      <c r="H2" s="2"/>
    </row>
    <row r="3" ht="22.5" customHeight="1">
      <c r="A3" s="3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6">
        <f t="shared" ref="F3:F141" si="1">IFERROR(SUMIF('1.1'!C:C, C3, '1.1'!E:E), 0)+IFERROR(SUMIF('1.2'!C:C, C3, '1.2'!E:E), 0)+IFERROR(SUMIF('1.3'!C:C, C3, '1.3'!E:E), 0)+IFERROR(SUMIF('1.4'!C:C, C3, '1.4'!E:E), 0)+IFERROR(SUMIF('1.5'!C:C, C3, '1.5'!E:E), 0)+IFERROR(SUMIF('1.6'!C:C, C3, '1.6'!E:E), 0)+IFERROR(SUMIF('1.7'!C:C, C3, '1.7'!E:E), 0)+IFERROR(SUMIF('1.8'!C:C, C3, '1.8'!E:E), 0)+IFERROR(SUMIF('1.9'!C:C, C3, '1.9'!E:E), 0)+IFERROR(SUMIF('1.10'!C:C, C3, '1.10'!E:E), 0)+IFERROR(SUMIF('1.11'!C:C, C3, '1.11'!E:E), 0)+IFERROR(SUMIF('1.12'!C:C, C3, '1.12'!E:E), 0)+IFERROR(SUMIF('1.13'!C:C, C3, '1.13'!E:E), 0)+IFERROR(SUMIF('1.14'!C:C, C3, '1.14'!E:E), 0)+IFERROR(SUMIF('1.15'!C:C, C3, '1.15'!E:E), 0)+IFERROR(SUMIF('1.16'!C:C, C3, '1.16'!E:E), 0)+IFERROR(SUMIF('1.17'!C:C, C3, '1.17'!E:E), 0)+IFERROR(SUMIF('1.18'!C:C, C3, '1.18'!E:E), 0)+IFERROR(SUMIF('1.19'!C:C, C3, '1.19'!E:E), 0)+IFERROR(SUMIF('1.20'!C:C, C3, '1.20'!E:E), 0)+IFERROR(SUMIF('1.21'!C:C, C3, '1.21'!E:E), 0)+IFERROR(SUMIF('1.22'!C:C, C3, '1.22'!E:E), 0)+IFERROR(SUMIF('1.23'!C:C, C3, '1.23'!E:E), 0)+IFERROR(SUMIF('1.24'!C:C, C3, '1.24'!E:E), 0)+IFERROR(SUMIF('1.25'!C:C, C3, '1.25'!E:E), 0)+IFERROR(SUMIF('1.26'!C:C, C3, '1.26'!E:E), 0)+IFERROR(SUMIF('1.27'!C:C, C3, '1.27'!E:E), 0)+IFERROR(SUMIF('1.28'!C:C, C3, '1.28'!E:E), 0)+IFERROR(SUMIF('1.29'!C:C, C3, '1.29'!E:E), 0)+IFERROR(SUMIF('1.30'!C:C, C3, '1.30'!E:E), 0)+IFERROR(SUMIF('1.31'!C:C, C3, '1.31'!E:E), 0)+IFERROR(SUMIF('2.1'!C:C, C3, '2.1'!E:E), 0)+IFERROR(SUMIF('2.2'!C:C, C3, '2.2'!E:E), 0)+IFERROR(SUMIF('2.3'!C:C, C3, '2.3'!E:E), 0)+IFERROR(SUMIF('2.4'!C:C, C3, '2.4'!E:E), 0)+IFERROR(SUMIF('2.5'!C:C, C3, '2.5'!E:E), 0)+IFERROR(SUMIF('2.6'!C:C, C3, '2.6'!E:E), 0)+IFERROR(SUMIF('2.7'!C:C, C3, '2.7'!E:E), 0)+IFERROR(SUMIF('2.8'!C:C, C3, '2.8'!E:E), 0)+IFERROR(SUMIF('2.9'!C:C, C3, '2.9'!E:E), 0)+IFERROR(SUMIF('2.10'!C:C, C3, '2.10'!E:E), 0)+IFERROR(SUMIF('2.11'!C:C, C3, '2.11'!E:E), 0)+IFERROR(SUMIF('2.12'!C:C, C3, '2.12'!E:E), 0)+IFERROR(SUMIF('2.13'!C:C, C3, '2.13'!E:E), 0)+IFERROR(SUMIF('2.14'!C:C, C3, '2.14'!E:E), 0)+IFERROR(SUMIF('2.15'!C:C, C3, '2.15'!E:E), 0)+IFERROR(SUMIF('2.16'!C:C, C3, '2.16'!E:E), 0)+IFERROR(SUMIF('2.17'!C:C, C3, '2.17'!E:E), 0)+IFERROR(SUMIF('2.18'!C:C, C3, '2.18'!E:E), 0)+IFERROR(SUMIF('2.19'!C:C, C3, '2.19'!E:E), 0)+IFERROR(SUMIF('2.20'!C:C, C3, '2.20'!E:E), 0)+IFERROR(SUMIF('2.21'!C:C, C3, '2.21'!E:E), 0)+IFERROR(SUMIF('2.22'!C:C, C3, '2.22'!E:E), 0)+IFERROR(SUMIF('2.23'!C:C, C3, '2.23'!E:E), 0)+IFERROR(SUMIF('2.24'!C:C, C3, '2.24'!E:E), 0)+IFERROR(SUMIF('2.25'!C:C, C3, '2.25'!E:E), 0)+IFERROR(SUMIF('2.26'!C:C, C3, '2.26'!E:E), 0)+IFERROR(SUMIF('2.27'!C:C, C3, '2.27'!E:E), 0)+IFERROR(SUMIF('2.28'!C:C, C3, '2.28'!E:E), 0)+IFERROR(SUMIF('3.1'!C:C, C3, '3.1'!E:E), 0)+IFERROR(SUMIF('3.2'!C:C, C3, '3.2'!E:E), 0)+IFERROR(SUMIF('3.3'!C:C, C3, '3.3'!E:E), 0)+IFERROR(SUMIF('3.4'!C:C, C3, '3.4'!E:E), 0)+IFERROR(SUMIF('3.5'!C:C, C3, '3.5'!E:E), 0)+IFERROR(SUMIF('3.6'!C:C, C3, '3.6'!E:E), 0)+IFERROR(SUMIF('3.7'!C:C, C3, '3.7'!E:E), 0)+IFERROR(SUMIF('3.8'!C:C, C3, '3.8'!E:E), 0)+IFERROR(SUMIF('3.9'!C:C, C3, '3.9'!E:E), 0)+IFERROR(SUMIF('3.10'!C:C, C3, '3.10'!E:E), 0)+IFERROR(SUMIF('3.11'!C:C, C3, '3.11'!E:E), 0)+IFERROR(SUMIF('3.12'!C:C, C3, '3.12'!E:E), 0)+IFERROR(SUMIF('3.13'!C:C, C3, '3.13'!E:E), 0)+IFERROR(SUMIF('3.14'!C:C, C3, '3.14'!E:E), 0)+IFERROR(SUMIF('3.15'!C:C, C3, '3.15'!E:E), 0)+IFERROR(SUMIF('3.16'!C:C, C3, '3.16'!E:E), 0)+IFERROR(SUMIF('3.17'!C:C, C3, '3.17'!E:E), 0)+IFERROR(SUMIF('3.18'!C:C, C3, '3.18'!E:E), 0)+IFERROR(SUMIF('3.19'!C:C, C3, '3.19'!E:E), 0)+IFERROR(SUMIF('3.20'!C:C, C3, '3.20'!E:E), 0)+IFERROR(SUMIF('3.21'!C:C, C3, '3.21'!E:E), 0)+IFERROR(SUMIF('3.22'!C:C, C3, '3.22'!E:E), 0)+IFERROR(SUMIF('3.23'!C:C, C3, '3.23'!E:E), 0)+IFERROR(SUMIF('3.24'!C:C, C3, '3.24'!E:E), 0)+IFERROR(SUMIF('3.25'!C:C, C3, '3.25'!E:E), 0)+IFERROR(SUMIF('3.26'!C:C, C3, '3.26'!E:E), 0)+IFERROR(SUMIF('3.27'!C:C, C3, '3.27'!E:E), 0)+IFERROR(SUMIF('3.28'!C:C, C3, '3.28'!E:E), 0)+IFERROR(SUMIF('3.29'!C:C, C3, '3.29'!E:E), 0)+IFERROR(SUMIF('3.30'!C:C, C3, '3.30'!E:E), 0)+IFERROR(SUMIF('3.31'!C:C, C3, '3.31'!E:E), 0)+IFERROR(SUMIF('4.1'!C:C, C3, '4.1'!E:E), 0)+IFERROR(SUMIF('4.2'!C:C, C3, '4.2'!E:E), 0)+IFERROR(SUMIF('4.3'!C:C, C3, '4.3'!E:E), 0)+IFERROR(SUMIF('4.4'!C:C, C3, '4.4'!E:E), 0)+IFERROR(SUMIF('4.5'!C:C, C3, '4.5'!E:E), 0)+IFERROR(SUMIF('4.6'!C:C, C3, '4.6'!E:E), 0)+IFERROR(SUMIF('4.7'!C:C, C3, '4.7'!E:E), 0)+IFERROR(SUMIF('4.8'!C:C, C3, '4.8'!E:E), 0)+IFERROR(SUMIF('4.9'!C:C, C3, '4.9'!E:E), 0)+IFERROR(SUMIF('4.10'!C:C, C3, '4.10'!E:E), 0)+IFERROR(SUMIF('4.11'!C:C, C3, '4.11'!E:E), 0)+IFERROR(SUMIF('4.12'!C:C, C3, '4.12'!E:E), 0)+IFERROR(SUMIF('4.13'!C:C, C3, '4.13'!E:E), 0)+IFERROR(SUMIF('4.14'!C:C, C3, '4.14'!E:E), 0)+IFERROR(SUMIF('4.15'!C:C, C3, '4.15'!E:E), 0)+IFERROR(SUMIF('4.16'!C:C, C3, '4.16'!E:E), 0)+IFERROR(SUMIF('4.17'!C:C, C3, '4.17'!E:E), 0)+IFERROR(SUMIF('4.18'!C:C, C3, '4.18'!E:E), 0)+IFERROR(SUMIF('4.19'!C:C, C3, '4.19'!E:E), 0)+IFERROR(SUMIF('4.20'!C:C, C3, '4.20'!E:E), 0)+IFERROR(SUMIF('4.21'!C:C, C3, '4.21'!E:E), 0)+IFERROR(SUMIF('4.22'!C:C, C3, '4.22'!E:E), 0)+IFERROR(SUMIF('4.23'!C:C, C3, '4.23'!E:E), 0)+IFERROR(SUMIF('4.24'!C:C, C3, '4.24'!E:E), 0)+IFERROR(SUMIF('4.25'!C:C, C3, '4.25'!E:E), 0)+IFERROR(SUMIF('4.26'!C:C, C3, '4.26'!E:E), 0)+IFERROR(SUMIF('4.27'!C:C, C3, '4.27'!E:E), 0)+IFERROR(SUMIF('4.28'!C:C, C3, '4.28'!E:E), 0)+IFERROR(SUMIF('4.29'!C:C, C3, '4.29'!E:E), 0)+IFERROR(SUMIF('4.30'!C:C, C3, '4.30'!E:E), 0)+IFERROR(SUMIF('5.1'!C:C, C3, '5.1'!E:E), 0)+IFERROR(SUMIF('5.2'!C:C, C3, '5.2'!E:E), 0)+IFERROR(SUMIF('5.3'!C:C, C3, '5.3'!E:E), 0)+IFERROR(SUMIF('5.4'!C:C, C3, '5.4'!E:E), 0)+IFERROR(SUMIF('5.5'!C:C, C3, '5.5'!E:E), 0)+IFERROR(SUMIF('5.6'!C:C, C3, '5.6'!E:E), 0)+IFERROR(SUMIF('5.7'!C:C, C3, '5.7'!E:E), 0)+IFERROR(SUMIF('5.8'!C:C, C3, '5.8'!E:E), 0)+IFERROR(SUMIF('5.9'!C:C, C3, '5.9'!E:E), 0)+IFERROR(SUMIF('5.10'!C:C, C3, '5.10'!E:E), 0)+IFERROR(SUMIF('5.11'!C:C, C3, '5.11'!E:E), 0)+IFERROR(SUMIF('5.12'!C:C, C3, '5.12'!E:E), 0)+IFERROR(SUMIF('5.13'!C:C, C3, '5.13'!E:E), 0)+IFERROR(SUMIF('5.14'!C:C, C3, '5.14'!E:E), 0)+IFERROR(SUMIF('5.15'!C:C, C3, '5.15'!E:E), 0)+IFERROR(SUMIF('5.16'!C:C, C3, '5.16'!E:E), 0)+IFERROR(SUMIF('5.17'!C:C, C3, '5.17'!E:E), 0)+IFERROR(SUMIF('5.18'!C:C, C3, '5.18'!E:E), 0)+IFERROR(SUMIF('5.19'!C:C, C3, '5.19'!E:E), 0)+IFERROR(SUMIF('5.20'!C:C, C3, '5.20'!E:E), 0)+IFERROR(SUMIF('5.21'!C:C, C3, '5.21'!E:E), 0)+IFERROR(SUMIF('5.22'!C:C, C3, '5.22'!E:E), 0)+IFERROR(SUMIF('5.23'!C:C, C3, '5.23'!E:E), 0)+IFERROR(SUMIF('5.24'!C:C, C3, '5.24'!E:E), 0)+IFERROR(SUMIF('5.25'!C:C, C3, '5.25'!E:E), 0)+IFERROR(SUMIF('5.26'!C:C, C3, '5.26'!E:E), 0)+IFERROR(SUMIF('5.27'!C:C, C3, '5.27'!E:E), 0)+IFERROR(SUMIF('5.28'!C:C, C3, '5.28'!E:E), 0)+IFERROR(SUMIF('5.29'!C:C, C3, '5.29'!E:E), 0)+IFERROR(SUMIF('5.30'!C:C, C3, '5.30'!E:E), 0)+IFERROR(SUMIF('5.31'!C:C, C3, '5.31'!E:E), 0)+IFERROR(SUMIF('6.1'!C:C, C3, '6.1'!E:E), 0)+IFERROR(SUMIF('6.2'!C:C, C3, '6.2'!E:E), 0)+IFERROR(SUMIF('6.3'!C:C, C3, '6.3'!E:E), 0)+IFERROR(SUMIF('6.4'!C:C, C3, '6.4'!E:E), 0)+IFERROR(SUMIF('6.5'!C:C, C3, '6.5'!E:E), 0)+IFERROR(SUMIF('6.6'!C:C, C3, '6.6'!E:E), 0)+IFERROR(SUMIF('6.7'!C:C, C3, '6.7'!E:E), 0)+IFERROR(SUMIF('6.8'!C:C, C3, '6.8'!E:E), 0)+IFERROR(SUMIF('6.9'!C:C, C3, '6.9'!E:E), 0)+IFERROR(SUMIF('6.10'!C:C, C3, '6.10'!E:E), 0)+IFERROR(SUMIF('6.11'!C:C, C3, '6.11'!E:E), 0)+IFERROR(SUMIF('6.12'!C:C, C3, '6.12'!E:E), 0)+IFERROR(SUMIF('6.13'!C:C, C3, '6.13'!E:E), 0)+IFERROR(SUMIF('6.14'!C:C, C3, '6.14'!E:E), 0)+IFERROR(SUMIF('6.15'!C:C, C3, '6.15'!E:E), 0)+IFERROR(SUMIF('6.16'!C:C, C3, '6.16'!E:E), 0)+IFERROR(SUMIF('6.17'!C:C, C3, '6.17'!E:E), 0)+IFERROR(SUMIF('6.18'!C:C, C3, '6.18'!E:E), 0)+IFERROR(SUMIF('6.19'!C:C, C3, '6.19'!E:E), 0)+IFERROR(SUMIF('6.20'!C:C, C3, '6.20'!E:E), 0)+IFERROR(SUMIF('6.21'!C:C, C3, '6.21'!E:E), 0)+IFERROR(SUMIF('6.22'!C:C, C3, '6.22'!E:E), 0)+IFERROR(SUMIF('6.23'!C:C, C3, '6.23'!E:E), 0)+IFERROR(SUMIF('6.24'!C:C, C3, '6.24'!E:E), 0)+IFERROR(SUMIF('6.25'!C:C, C3, '6.25'!E:E), 0)+IFERROR(SUMIF('6.26'!C:C, C3, '6.26'!E:E), 0)+IFERROR(SUMIF('6.27'!C:C, C3, '6.27'!E:E), 0)+IFERROR(SUMIF('6.28'!C:C, C3, '6.28'!E:E), 0)+IFERROR(SUMIF('6.29'!C:C, C3, '6.29'!E:E), 0)+IFERROR(SUMIF('6.30'!C:C, C3, '6.30'!E:E), 0)+IFERROR(SUMIF('7.1'!C:C, C3, '7.1'!E:E), 0)+IFERROR(SUMIF('7.2'!C:C, C3, '7.2'!E:E), 0)+IFERROR(SUMIF('7.3'!C:C, C3, '7.3'!E:E), 0)+IFERROR(SUMIF('7.4'!C:C, C3, '7.4'!E:E), 0)+IFERROR(SUMIF('7.5'!C:C, C3, '7.5'!E:E), 0)+IFERROR(SUMIF('7.6'!C:C, C3, '7.6'!E:E), 0)+IFERROR(SUMIF('7.7'!C:C, C3, '7.7'!E:E), 0)+IFERROR(SUMIF('7.8'!C:C, C3, '7.8'!E:E), 0)+IFERROR(SUMIF('7.9'!C:C, C3, '7.9'!E:E), 0)+IFERROR(SUMIF('7.10'!C:C, C3, '7.10'!E:E), 0)+IFERROR(SUMIF('7.11'!C:C, C3, '7.11'!E:E), 0)+IFERROR(SUMIF('7.12'!C:C, C3, '7.12'!E:E), 0)+IFERROR(SUMIF('7.13'!C:C, C3, '7.13'!E:E), 0)+IFERROR(SUMIF('7.14'!C:C, C3, '7.14'!E:E), 0)+IFERROR(SUMIF('7.15'!C:C, C3, '7.15'!E:E), 0)+IFERROR(SUMIF('7.16'!C:C, C3, '7.16'!E:E), 0)+IFERROR(SUMIF('7.17'!C:C, C3, '7.17'!E:E), 0)+IFERROR(SUMIF('7.18'!C:C, C3, '7.18'!E:E), 0)+IFERROR(SUMIF('7.19'!C:C, C3, '7.19'!E:E), 0)+IFERROR(SUMIF('7.20'!C:C, C3, '7.20'!E:E), 0)+IFERROR(SUMIF('7.21'!C:C, C3, '7.21'!E:E), 0)+IFERROR(SUMIF('7.22'!C:C, C3, '7.22'!E:E), 0)+IFERROR(SUMIF('7.23'!C:C, C3, '7.23'!E:E), 0)+IFERROR(SUMIF('7.24'!C:C, C3, '7.24'!E:E), 0)+IFERROR(SUMIF('7.25'!C:C, C3, '7.25'!E:E), 0)+IFERROR(SUMIF('7.26'!C:C, C3, '7.26'!E:E), 0)+IFERROR(SUMIF('7.27'!C:C, C3, '7.27'!E:E), 0)+IFERROR(SUMIF('7.28'!C:C, C3, '7.28'!E:E), 0)+IFERROR(SUMIF('7.29'!C:C, C3, '7.29'!E:E), 0)+IFERROR(SUMIF('7.30'!C:C, C3, '7.30'!E:E), 0)+IFERROR(SUMIF('7.31'!C:C, C3, '7.31'!E:E), 0)+IFERROR(SUMIF('8.1'!C:C, C3, '8.1'!E:E), 0)+IFERROR(SUMIF('8.2'!C:C, C3, '8.2'!E:E), 0)+IFERROR(SUMIF('8.3'!C:C, C3, '8.3'!E:E), 0)+IFERROR(SUMIF('8.4'!C:C, C3, '8.4'!E:E), 0)+IFERROR(SUMIF('8.5'!C:C, C3, '8.5'!E:E), 0)+IFERROR(SUMIF('8.6'!C:C, C3, '8.6'!E:E), 0)+IFERROR(SUMIF('8.7'!C:C, C3, '8.7'!E:E), 0)+IFERROR(SUMIF('8.8'!C:C, C3, '8.8'!E:E), 0)+IFERROR(SUMIF('8.9'!C:C, C3, '8.9'!E:E), 0)+IFERROR(SUMIF('8.10'!C:C, C3, '8.10'!E:E), 0)+IFERROR(SUMIF('8.11'!C:C, C3, '8.11'!E:E), 0)+IFERROR(SUMIF('8.12'!C:C, C3, '8.12'!E:E), 0)+IFERROR(SUMIF('8.13'!C:C, C3, '8.13'!E:E), 0)+IFERROR(SUMIF('8.14'!C:C, C3, '8.14'!E:E), 0)+IFERROR(SUMIF('8.15'!C:C, C3, '8.15'!E:E), 0)+IFERROR(SUMIF('8.16'!C:C, C3, '8.16'!E:E), 0)+IFERROR(SUMIF('8.17'!C:C, C3, '8.17'!E:E), 0)+IFERROR(SUMIF('8.18'!C:C, C3, '8.18'!E:E), 0)+IFERROR(SUMIF('8.19'!C:C, C3, '8.19'!E:E), 0)+IFERROR(SUMIF('8.20'!C:C, C3, '8.20'!E:E), 0)+IFERROR(SUMIF('8.21'!C:C, C3, '8.21'!E:E), 0)+IFERROR(SUMIF('8.22'!C:C, C3, '8.22'!E:E), 0)+IFERROR(SUMIF('8.23'!C:C, C3, '8.23'!E:E), 0)+IFERROR(SUMIF('8.24'!C:C, C3, '8.24'!E:E), 0)+IFERROR(SUMIF('8.25'!C:C, C3, '8.25'!E:E), 0)+IFERROR(SUMIF('8.26'!C:C, C3, '8.26'!E:E), 0)+IFERROR(SUMIF('8.27'!C:C, C3, '8.27'!E:E), 0)+IFERROR(SUMIF('8.28'!C:C, C3, '8.28'!E:E), 0)+IFERROR(SUMIF('8.29'!C:C, C3, '8.29'!E:E), 0)+IFERROR(SUMIF('8.30'!C:C, C3, '8.30'!E:E), 0)+IFERROR(SUMIF('8.31'!C:C, C3, '8.31'!E:E), 0)+IFERROR(SUMIF('9.1'!C:C, C3, '9.1'!E:E), 0)+IFERROR(SUMIF('9.2'!C:C, C3, '9.2'!E:E), 0)+IFERROR(SUMIF('9.3'!C:C, C3, '9.3'!E:E), 0)+IFERROR(SUMIF('9.4'!C:C, C3, '9.4'!E:E), 0)+IFERROR(SUMIF('9.5'!C:C, C3, '9.5'!E:E), 0)+IFERROR(SUMIF('9.6'!C:C, C3, '9.6'!E:E), 0)+IFERROR(SUMIF('9.7'!C:C, C3, '9.7'!E:E), 0)+IFERROR(SUMIF('9.8'!C:C, C3, '9.8'!E:E), 0)+IFERROR(SUMIF('9.9'!C:C, C3, '9.9'!E:E), 0)+IFERROR(SUMIF('9.10'!C:C, C3, '9.10'!E:E), 0)+IFERROR(SUMIF('9.11'!C:C, C3, '9.11'!E:E), 0)+IFERROR(SUMIF('9.12'!C:C, C3, '9.12'!E:E), 0)+IFERROR(SUMIF('9.13'!C:C, C3, '9.13'!E:E), 0)+IFERROR(SUMIF('9.14'!C:C, C3, '9.14'!E:E), 0)+IFERROR(SUMIF('9.15'!C:C, C3, '9.15'!E:E), 0)+IFERROR(SUMIF('9.16'!C:C, C3, '9.16'!E:E), 0)+IFERROR(SUMIF('9.17'!C:C, C3, '9.17'!E:E), 0)+IFERROR(SUMIF('9.18'!C:C, C3, '9.18'!E:E), 0)+IFERROR(SUMIF('9.19'!C:C, C3, '9.19'!E:E), 0)+IFERROR(SUMIF('9.20'!C:C, C3, '9.20'!E:E), 0)+IFERROR(SUMIF('9.21'!C:C, C3, '9.21'!E:E), 0)+IFERROR(SUMIF('9.22'!C:C, C3, '9.22'!E:E), 0)+IFERROR(SUMIF('9.23'!C:C, C3, '9.23'!E:E), 0)+IFERROR(SUMIF('9.24'!C:C, C3, '9.24'!E:E), 0)+IFERROR(SUMIF('9.25'!C:C, C3, '9.25'!E:E), 0)+IFERROR(SUMIF('9.26'!C:C, C3, '9.26'!E:E), 0)+IFERROR(SUMIF('9.27'!C:C, C3, '9.27'!E:E), 0)+IFERROR(SUMIF('9.28'!C:C, C3, '9.28'!E:E), 0)+IFERROR(SUMIF('9.29'!C:C, C3, '9.29'!E:E), 0)+IFERROR(SUMIF('9.30'!C:C, C3, '9.30'!E:E), 0)+IFERROR(SUMIF('10.1'!C:C, C3, '10.1'!E:E), 0)+IFERROR(SUMIF('10.2'!C:C, C3, '10.2'!E:E), 0)+IFERROR(SUMIF('10.3'!C:C, C3, '10.3'!E:E), 0)+IFERROR(SUMIF('10.4'!C:C, C3, '10.4'!E:E), 0)+IFERROR(SUMIF('10.5'!C:C, C3, '10.5'!E:E), 0)+IFERROR(SUMIF('10.6'!C:C, C3, '10.6'!E:E), 0)+IFERROR(SUMIF('10.7'!C:C, C3, '10.7'!E:E), 0)+IFERROR(SUMIF('10.8'!C:C, C3, '10.8'!E:E), 0)+IFERROR(SUMIF('10.9'!C:C, C3, '10.9'!E:E), 0)+IFERROR(SUMIF('10.10'!C:C, C3, '10.10'!E:E), 0)+IFERROR(SUMIF('10.11'!C:C, C3, '10.11'!E:E), 0)+IFERROR(SUMIF('10.12'!C:C, C3, '10.12'!E:E), 0)+IFERROR(SUMIF('10.13'!C:C, C3, '10.13'!E:E), 0)+IFERROR(SUMIF('10.14'!C:C, C3, '10.14'!E:E), 0)+IFERROR(SUMIF('10.15'!C:C, C3, '10.15'!E:E), 0)+IFERROR(SUMIF('10.16'!C:C, C3, '10.16'!E:E), 0)+IFERROR(SUMIF('10.17'!C:C, C3, '10.17'!E:E), 0)+IFERROR(SUMIF('10.18'!C:C, C3, '10.18'!E:E), 0)+IFERROR(SUMIF('10.19'!C:C, C3, '10.19'!E:E), 0)+IFERROR(SUMIF('10.20'!C:C, C3, '10.20'!E:E), 0)+IFERROR(SUMIF('10.21'!C:C, C3, '10.21'!E:E), 0)+IFERROR(SUMIF('10.22'!C:C, C3, '10.22'!E:E), 0)+IFERROR(SUMIF('10.23'!C:C, C3, '10.23'!E:E), 0)+IFERROR(SUMIF('10.24'!C:C, C3, '10.24'!E:E), 0)+IFERROR(SUMIF('10.25'!C:C, C3, '10.25'!E:E), 0)+IFERROR(SUMIF('10.26'!C:C, C3, '10.26'!E:E), 0)+IFERROR(SUMIF('10.27'!C:C, C3, '10.27'!E:E), 0)+IFERROR(SUMIF('10.28'!C:C, C3, '10.28'!E:E), 0)+IFERROR(SUMIF('10.29'!C:C, C3, '10.29'!E:E), 0)+IFERROR(SUMIF('10.30'!C:C, C3, '10.30'!E:E), 0)+IFERROR(SUMIF('10.31'!C:C, C3, '10.31'!E:E), 0)+IFERROR(SUMIF('11.1'!C:C, C3, '11.1'!E:E), 0)+IFERROR(SUMIF('11.2'!C:C, C3, '11.2'!E:E), 0)+IFERROR(SUMIF('11.3'!C:C, C3, '11.3'!E:E), 0)+IFERROR(SUMIF('11.4'!C:C, C3, '11.4'!E:E), 0)+IFERROR(SUMIF('11.5'!C:C, C3, '11.5'!E:E), 0)+IFERROR(SUMIF('11.6'!C:C, C3, '11.6'!E:E), 0)+IFERROR(SUMIF('11.7'!C:C, C3, '11.7'!E:E), 0)+IFERROR(SUMIF('11.8'!C:C, C3, '11.8'!E:E), 0)+IFERROR(SUMIF('11.9'!C:C, C3, '11.9'!E:E), 0)+IFERROR(SUMIF('11.10'!C:C, C3, '11.10'!E:E), 0)+IFERROR(SUMIF('11.11'!C:C, C3, '11.11'!E:E), 0)+IFERROR(SUMIF('11.12'!C:C, C3, '11.12'!E:E), 0)+IFERROR(SUMIF('11.13'!C:C, C3, '11.13'!E:E), 0)+IFERROR(SUMIF('11.14'!C:C, C3, '11.14'!E:E), 0)+IFERROR(SUMIF('11.15'!C:C, C3, '11.15'!E:E), 0)+IFERROR(SUMIF('11.16'!C:C, C3, '11.16'!E:E), 0)+IFERROR(SUMIF('11.17'!C:C, C3, '11.17'!E:E), 0)+IFERROR(SUMIF('11.18'!C:C, C3, '11.18'!E:E), 0)+IFERROR(SUMIF('11.19'!C:C, C3, '11.19'!E:E), 0)+IFERROR(SUMIF('11.20'!C:C, C3, '11.20'!E:E), 0)+IFERROR(SUMIF('11.21'!C:C, C3, '11.21'!E:E), 0)+IFERROR(SUMIF('11.22'!C:C, C3, '11.22'!E:E), 0)+IFERROR(SUMIF('11.23'!C:C, C3, '11.23'!E:E), 0)+IFERROR(SUMIF('11.24'!C:C, C3, '11.24'!E:E), 0)+IFERROR(SUMIF('11.25'!C:C, C3, '11.25'!E:E), 0)+IFERROR(SUMIF('11.26'!C:C, C3, '11.26'!E:E), 0)+IFERROR(SUMIF('11.27'!C:C, C3, '11.27'!E:E), 0)+IFERROR(SUMIF('11.28'!C:C, C3, '11.28'!E:E), 0)+IFERROR(SUMIF('11.29'!C:C, C3, '11.29'!E:E), 0)+IFERROR(SUMIF('11.30'!C:C, C3, '11.30'!E:E), 0)+IFERROR(SUMIF('12.1'!C:C, C3, '12.1'!E:E), 0)+IFERROR(SUMIF('12.2'!C:C, C3, '12.2'!E:E), 0)+IFERROR(SUMIF('12.3'!C:C, C3, '12.3'!E:E), 0)+IFERROR(SUMIF('12.4'!C:C, C3, '12.4'!E:E), 0)+IFERROR(SUMIF('12.5'!C:C, C3, '12.5'!E:E), 0)+IFERROR(SUMIF('12.6'!C:C, C3, '12.6'!E:E), 0)+IFERROR(SUMIF('12.7'!C:C, C3, '12.7'!E:E), 0)+IFERROR(SUMIF('12.8'!C:C, C3, '12.8'!E:E), 0)+IFERROR(SUMIF('12.9'!C:C, C3, '12.9'!E:E), 0)+IFERROR(SUMIF('12.10'!C:C, C3, '12.10'!E:E), 0)+IFERROR(SUMIF('12.11'!C:C, C3, '12.11'!E:E), 0)+IFERROR(SUMIF('12.12'!C:C, C3, '12.12'!E:E), 0)+IFERROR(SUMIF('12.13'!C:C, C3, '12.13'!E:E), 0)+IFERROR(SUMIF('12.14'!C:C, C3, '12.14'!E:E), 0)+IFERROR(SUMIF('12.15'!C:C, C3, '12.15'!E:E), 0)+IFERROR(SUMIF('12.16'!C:C, C3, '12.16'!E:E), 0)+IFERROR(SUMIF('12.17'!C:C, C3, '12.17'!E:E), 0)+IFERROR(SUMIF('12.18'!C:C, C3, '12.18'!E:E), 0)+IFERROR(SUMIF('12.19'!C:C, C3, '12.19'!E:E), 0)+IFERROR(SUMIF('12.20'!C:C, C3, '12.20'!E:E), 0)+IFERROR(SUMIF('12.21'!C:C, C3, '12.21'!E:E), 0)+IFERROR(SUMIF('12.22'!C:C, C3, '12.22'!E:E), 0)+IFERROR(SUMIF('12.23'!C:C, C3, '12.23'!E:E), 0)+IFERROR(SUMIF('12.24'!C:C, C3, '12.24'!E:E), 0)+IFERROR(SUMIF('12.25'!C:C, C3, '12.25'!E:E), 0)+IFERROR(SUMIF('12.26'!C:C, C3, '12.26'!E:E), 0)+IFERROR(SUMIF('12.27'!C:C, C3, '12.27'!E:E), 0)+IFERROR(SUMIF('12.28'!C:C, C3, '12.28'!E:E), 0)+IFERROR(SUMIF('12.29'!C:C, C3, '12.29'!E:E), 0)+IFERROR(SUMIF('12.30'!C:C, C3, '12.30'!E:E), 0)+IFERROR(SUMIF('12.31'!C:C, C3, '12.31'!E:E), 0)</f>
        <v>0</v>
      </c>
      <c r="G3" s="6">
        <f t="shared" ref="G3:G141" si="2">IFERROR(SUMIF('1.1'!C:C, C3, '1.1'!G:G), 0)+IFERROR(SUMIF('1.2'!C:C, C3, '1.2'!G:G), 0)+IFERROR(SUMIF('1.3'!C:C, C3, '1.3'!G:G), 0)+IFERROR(SUMIF('1.4'!C:C, C3, '1.4'!G:G), 0)+IFERROR(SUMIF('1.5'!C:C, C3, '1.5'!G:G), 0)+IFERROR(SUMIF('1.6'!C:C, C3, '1.6'!G:G), 0)+IFERROR(SUMIF('1.7'!C:C, C3, '1.7'!G:G), 0)+IFERROR(SUMIF('1.8'!C:C, C3, '1.8'!G:G), 0)+IFERROR(SUMIF('1.9'!C:C, C3, '1.9'!G:G), 0)+IFERROR(SUMIF('1.10'!C:C, C3, '1.10'!G:G), 0)+IFERROR(SUMIF('1.11'!C:C, C3, '1.11'!G:G), 0)+IFERROR(SUMIF('1.12'!C:C, C3, '1.12'!G:G), 0)+IFERROR(SUMIF('1.13'!C:C, C3, '1.13'!G:G), 0)+IFERROR(SUMIF('1.14'!C:C, C3, '1.14'!G:G), 0)+IFERROR(SUMIF('1.15'!C:C, C3, '1.15'!G:G), 0)+IFERROR(SUMIF('1.16'!C:C, C3, '1.16'!G:G), 0)+IFERROR(SUMIF('1.17'!C:C, C3, '1.17'!G:G), 0)+IFERROR(SUMIF('1.18'!C:C, C3, '1.18'!G:G), 0)+IFERROR(SUMIF('1.19'!C:C, C3, '1.19'!G:G), 0)+IFERROR(SUMIF('1.20'!C:C, C3, '1.20'!G:G), 0)+IFERROR(SUMIF('1.21'!C:C, C3, '1.21'!G:G), 0)+IFERROR(SUMIF('1.22'!C:C, C3, '1.22'!G:G), 0)+IFERROR(SUMIF('1.23'!C:C, C3, '1.23'!G:G), 0)+IFERROR(SUMIF('1.24'!C:C, C3, '1.24'!G:G), 0)+IFERROR(SUMIF('1.25'!C:C, C3, '1.25'!G:G), 0)+IFERROR(SUMIF('1.26'!C:C, C3, '1.26'!G:G), 0)+IFERROR(SUMIF('1.27'!C:C, C3, '1.27'!G:G), 0)+IFERROR(SUMIF('1.28'!C:C, C3, '1.28'!G:G), 0)+IFERROR(SUMIF('1.29'!C:C, C3, '1.29'!G:G), 0)+IFERROR(SUMIF('1.30'!C:C, C3, '1.30'!G:G), 0)+IFERROR(SUMIF('1.31'!C:C, C3, '1.31'!G:G), 0)+IFERROR(SUMIF('2.1'!C:C, C3, '2.1'!G:G), 0)+IFERROR(SUMIF('2.2'!C:C, C3, '2.2'!G:G), 0)+IFERROR(SUMIF('2.3'!C:C, C3, '2.3'!G:G), 0)+IFERROR(SUMIF('2.4'!C:C, C3, '2.4'!G:G), 0)+IFERROR(SUMIF('2.5'!C:C, C3, '2.5'!G:G), 0)+IFERROR(SUMIF('2.6'!C:C, C3, '2.6'!G:G), 0)+IFERROR(SUMIF('2.7'!C:C, C3, '2.7'!G:G), 0)+IFERROR(SUMIF('2.8'!C:C, C3, '2.8'!G:G), 0)+IFERROR(SUMIF('2.9'!C:C, C3, '2.9'!G:G), 0)+IFERROR(SUMIF('2.10'!C:C, C3, '2.10'!G:G), 0)+IFERROR(SUMIF('2.11'!C:C, C3, '2.11'!G:G), 0)+IFERROR(SUMIF('2.12'!C:C, C3, '2.12'!G:G), 0)+IFERROR(SUMIF('2.13'!C:C, C3, '2.13'!G:G), 0)+IFERROR(SUMIF('2.14'!C:C, C3, '2.14'!G:G), 0)+IFERROR(SUMIF('2.15'!C:C, C3, '2.15'!G:G), 0)+IFERROR(SUMIF('2.16'!C:C, C3, '2.16'!G:G), 0)+IFERROR(SUMIF('2.17'!C:C, C3, '2.17'!G:G), 0)+IFERROR(SUMIF('2.18'!C:C, C3, '2.18'!G:G), 0)+IFERROR(SUMIF('2.19'!C:C, C3, '2.19'!G:G), 0)+IFERROR(SUMIF('2.20'!C:C, C3, '2.20'!G:G), 0)+IFERROR(SUMIF('2.21'!C:C, C3, '2.21'!G:G), 0)+IFERROR(SUMIF('2.22'!C:C, C3, '2.22'!G:G), 0)+IFERROR(SUMIF('2.23'!C:C, C3, '2.23'!G:G), 0)+IFERROR(SUMIF('2.24'!C:C, C3, '2.24'!G:G), 0)+IFERROR(SUMIF('2.25'!C:C, C3, '2.25'!G:G), 0)+IFERROR(SUMIF('2.26'!C:C, C3, '2.26'!G:G), 0)+IFERROR(SUMIF('2.27'!C:C, C3, '2.27'!G:G), 0)+IFERROR(SUMIF('2.28'!C:C, C3, '2.28'!G:G), 0)+IFERROR(SUMIF('3.1'!C:C, C3, '3.1'!G:G), 0)+IFERROR(SUMIF('3.2'!C:C, C3, '3.2'!G:G), 0)+IFERROR(SUMIF('3.3'!C:C, C3, '3.3'!G:G), 0)+IFERROR(SUMIF('3.4'!C:C, C3, '3.4'!G:G), 0)+IFERROR(SUMIF('3.5'!C:C, C3, '3.5'!G:G), 0)+IFERROR(SUMIF('3.6'!C:C, C3, '3.6'!G:G), 0)+IFERROR(SUMIF('3.7'!C:C, C3, '3.7'!G:G), 0)+IFERROR(SUMIF('3.8'!C:C, C3, '3.8'!G:G), 0)+IFERROR(SUMIF('3.9'!C:C, C3, '3.9'!G:G), 0)+IFERROR(SUMIF('3.10'!C:C, C3, '3.10'!G:G), 0)+IFERROR(SUMIF('3.11'!C:C, C3, '3.11'!G:G), 0)+IFERROR(SUMIF('3.12'!C:C, C3, '3.12'!G:G), 0)+IFERROR(SUMIF('3.13'!C:C, C3, '3.13'!G:G), 0)+IFERROR(SUMIF('3.14'!C:C, C3, '3.14'!G:G), 0)+IFERROR(SUMIF('3.15'!C:C, C3, '3.15'!G:G), 0)+IFERROR(SUMIF('3.16'!C:C, C3, '3.16'!G:G), 0)+IFERROR(SUMIF('3.17'!C:C, C3, '3.17'!G:G), 0)+IFERROR(SUMIF('3.18'!C:C, C3, '3.18'!G:G), 0)+IFERROR(SUMIF('3.19'!C:C, C3, '3.19'!G:G), 0)+IFERROR(SUMIF('3.20'!C:C, C3, '3.20'!G:G), 0)+IFERROR(SUMIF('3.21'!C:C, C3, '3.21'!G:G), 0)+IFERROR(SUMIF('3.22'!C:C, C3, '3.22'!G:G), 0)+IFERROR(SUMIF('3.23'!C:C, C3, '3.23'!G:G), 0)+IFERROR(SUMIF('3.24'!C:C, C3, '3.24'!G:G), 0)+IFERROR(SUMIF('3.25'!C:C, C3, '3.25'!G:G), 0)+IFERROR(SUMIF('3.26'!C:C, C3, '3.26'!G:G), 0)+IFERROR(SUMIF('3.27'!C:C, C3, '3.27'!G:G), 0)+IFERROR(SUMIF('3.28'!C:C, C3, '3.28'!G:G), 0)+IFERROR(SUMIF('3.29'!C:C, C3, '3.29'!G:G), 0)+IFERROR(SUMIF('3.30'!C:C, C3, '3.30'!G:G), 0)+IFERROR(SUMIF('3.31'!C:C, C3, '3.31'!G:G), 0)+IFERROR(SUMIF('4.1'!C:C, C3, '4.1'!G:G), 0)+IFERROR(SUMIF('4.2'!C:C, C3, '4.2'!G:G), 0)+IFERROR(SUMIF('4.3'!C:C, C3, '4.3'!G:G), 0)+IFERROR(SUMIF('4.4'!C:C, C3, '4.4'!G:G), 0)+IFERROR(SUMIF('4.5'!C:C, C3, '4.5'!G:G), 0)+IFERROR(SUMIF('4.6'!C:C, C3, '4.6'!G:G), 0)+IFERROR(SUMIF('4.7'!C:C, C3, '4.7'!G:G), 0)+IFERROR(SUMIF('4.8'!C:C, C3, '4.8'!G:G), 0)+IFERROR(SUMIF('4.9'!C:C, C3, '4.9'!G:G), 0)+IFERROR(SUMIF('4.10'!C:C, C3, '4.10'!G:G), 0)+IFERROR(SUMIF('4.11'!C:C, C3, '4.11'!G:G), 0)+IFERROR(SUMIF('4.12'!C:C, C3, '4.12'!G:G), 0)+IFERROR(SUMIF('4.13'!C:C, C3, '4.13'!G:G), 0)+IFERROR(SUMIF('4.14'!C:C, C3, '4.14'!G:G), 0)+IFERROR(SUMIF('4.15'!C:C, C3, '4.15'!G:G), 0)+IFERROR(SUMIF('4.16'!C:C, C3, '4.16'!G:G), 0)+IFERROR(SUMIF('4.17'!C:C, C3, '4.17'!G:G), 0)+IFERROR(SUMIF('4.18'!C:C, C3, '4.18'!G:G), 0)+IFERROR(SUMIF('4.19'!C:C, C3, '4.19'!G:G), 0)+IFERROR(SUMIF('4.20'!C:C, C3, '4.20'!G:G), 0)+IFERROR(SUMIF('4.21'!C:C, C3, '4.21'!G:G), 0)+IFERROR(SUMIF('4.22'!C:C, C3, '4.22'!G:G), 0)+IFERROR(SUMIF('4.23'!C:C, C3, '4.23'!G:G), 0)+IFERROR(SUMIF('4.24'!C:C, C3, '4.24'!G:G), 0)+IFERROR(SUMIF('4.25'!C:C, C3, '4.25'!G:G), 0)+IFERROR(SUMIF('4.26'!C:C, C3, '4.26'!G:G), 0)+IFERROR(SUMIF('4.27'!C:C, C3, '4.27'!G:G), 0)+IFERROR(SUMIF('4.28'!C:C, C3, '4.28'!G:G), 0)+IFERROR(SUMIF('4.29'!C:C, C3, '4.29'!G:G), 0)+IFERROR(SUMIF('4.30'!C:C, C3, '4.30'!G:G), 0)+IFERROR(SUMIF('5.1'!C:C, C3, '5.1'!G:G), 0)+IFERROR(SUMIF('5.2'!C:C, C3, '5.2'!G:G), 0)+IFERROR(SUMIF('5.3'!C:C, C3, '5.3'!G:G), 0)+IFERROR(SUMIF('5.4'!C:C, C3, '5.4'!G:G), 0)+IFERROR(SUMIF('5.5'!C:C, C3, '5.5'!G:G), 0)+IFERROR(SUMIF('5.6'!C:C, C3, '5.6'!G:G), 0)+IFERROR(SUMIF('5.7'!C:C, C3, '5.7'!G:G), 0)+IFERROR(SUMIF('5.8'!C:C, C3, '5.8'!G:G), 0)+IFERROR(SUMIF('5.9'!C:C, C3, '5.9'!G:G), 0)+IFERROR(SUMIF('5.10'!C:C, C3, '5.10'!G:G), 0)+IFERROR(SUMIF('5.11'!C:C, C3, '5.11'!G:G), 0)+IFERROR(SUMIF('5.12'!C:C, C3, '5.12'!G:G), 0)+IFERROR(SUMIF('5.13'!C:C, C3, '5.13'!G:G), 0)+IFERROR(SUMIF('5.14'!C:C, C3, '5.14'!G:G), 0)+IFERROR(SUMIF('5.15'!C:C, C3, '5.15'!G:G), 0)+IFERROR(SUMIF('5.16'!C:C, C3, '5.16'!G:G), 0)+IFERROR(SUMIF('5.17'!C:C, C3, '5.17'!G:G), 0)+IFERROR(SUMIF('5.18'!C:C, C3, '5.18'!G:G), 0)+IFERROR(SUMIF('5.19'!C:C, C3, '5.19'!G:G), 0)+IFERROR(SUMIF('5.20'!C:C, C3, '5.20'!G:G), 0)+IFERROR(SUMIF('5.21'!C:C, C3, '5.21'!G:G), 0)+IFERROR(SUMIF('5.22'!C:C, C3, '5.22'!G:G), 0)+IFERROR(SUMIF('5.23'!C:C, C3, '5.23'!G:G), 0)+IFERROR(SUMIF('5.24'!C:C, C3, '5.24'!G:G), 0)+IFERROR(SUMIF('5.25'!C:C, C3, '5.25'!G:G), 0)+IFERROR(SUMIF('5.26'!C:C, C3, '5.26'!G:G), 0)+IFERROR(SUMIF('5.27'!C:C, C3, '5.27'!G:G), 0)+IFERROR(SUMIF('5.28'!C:C, C3, '5.28'!G:G), 0)+IFERROR(SUMIF('5.29'!C:C, C3, '5.29'!G:G), 0)+IFERROR(SUMIF('5.30'!C:C, C3, '5.30'!G:G), 0)+IFERROR(SUMIF('5.31'!C:C, C3, '5.31'!G:G), 0)+IFERROR(SUMIF('6.1'!C:C, C3, '6.1'!G:G), 0)+IFERROR(SUMIF('6.2'!C:C, C3, '6.2'!G:G), 0)+IFERROR(SUMIF('6.3'!C:C, C3, '6.3'!G:G), 0)+IFERROR(SUMIF('6.4'!C:C, C3, '6.4'!G:G), 0)+IFERROR(SUMIF('6.5'!C:C, C3, '6.5'!G:G), 0)+IFERROR(SUMIF('6.6'!C:C, C3, '6.6'!G:G), 0)+IFERROR(SUMIF('6.7'!C:C, C3, '6.7'!G:G), 0)+IFERROR(SUMIF('6.8'!C:C, C3, '6.8'!G:G), 0)+IFERROR(SUMIF('6.9'!C:C, C3, '6.9'!G:G), 0)+IFERROR(SUMIF('6.10'!C:C, C3, '6.10'!G:G), 0)+IFERROR(SUMIF('6.11'!C:C, C3, '6.11'!G:G), 0)+IFERROR(SUMIF('6.12'!C:C, C3, '6.12'!G:G), 0)+IFERROR(SUMIF('6.13'!C:C, C3, '6.13'!G:G), 0)+IFERROR(SUMIF('6.14'!C:C, C3, '6.14'!G:G), 0)+IFERROR(SUMIF('6.15'!C:C, C3, '6.15'!G:G), 0)+IFERROR(SUMIF('6.16'!C:C, C3, '6.16'!G:G), 0)+IFERROR(SUMIF('6.17'!C:C, C3, '6.17'!G:G), 0)+IFERROR(SUMIF('6.18'!C:C, C3, '6.18'!G:G), 0)+IFERROR(SUMIF('6.19'!C:C, C3, '6.19'!G:G), 0)+IFERROR(SUMIF('6.20'!C:C, C3, '6.20'!G:G), 0)+IFERROR(SUMIF('6.21'!C:C, C3, '6.21'!G:G), 0)+IFERROR(SUMIF('6.22'!C:C, C3, '6.22'!G:G), 0)+IFERROR(SUMIF('6.23'!C:C, C3, '6.23'!G:G), 0)+IFERROR(SUMIF('6.24'!C:C, C3, '6.24'!G:G), 0)+IFERROR(SUMIF('6.25'!C:C, C3, '6.25'!G:G), 0)+IFERROR(SUMIF('6.26'!C:C, C3, '6.26'!G:G), 0)+IFERROR(SUMIF('6.27'!C:C, C3, '6.27'!G:G), 0)+IFERROR(SUMIF('6.28'!C:C, C3, '6.28'!G:G), 0)+IFERROR(SUMIF('6.29'!C:C, C3, '6.29'!G:G), 0)+IFERROR(SUMIF('6.30'!C:C, C3, '6.30'!G:G), 0)+IFERROR(SUMIF('7.1'!C:C, C3, '7.1'!G:G), 0)+IFERROR(SUMIF('7.2'!C:C, C3, '7.2'!G:G), 0)+IFERROR(SUMIF('7.3'!C:C, C3, '7.3'!G:G), 0)+IFERROR(SUMIF('7.4'!C:C, C3, '7.4'!G:G), 0)+IFERROR(SUMIF('7.5'!C:C, C3, '7.5'!G:G), 0)+IFERROR(SUMIF('7.6'!C:C, C3, '7.6'!G:G), 0)+IFERROR(SUMIF('7.7'!C:C, C3, '7.7'!G:G), 0)+IFERROR(SUMIF('7.8'!C:C, C3, '7.8'!G:G), 0)+IFERROR(SUMIF('7.9'!C:C, C3, '7.9'!G:G), 0)+IFERROR(SUMIF('7.10'!C:C, C3, '7.10'!G:G), 0)+IFERROR(SUMIF('7.11'!C:C, C3, '7.11'!G:G), 0)+IFERROR(SUMIF('7.12'!C:C, C3, '7.12'!G:G), 0)+IFERROR(SUMIF('7.13'!C:C, C3, '7.13'!G:G), 0)+IFERROR(SUMIF('7.14'!C:C, C3, '7.14'!G:G), 0)+IFERROR(SUMIF('7.15'!C:C, C3, '7.15'!G:G), 0)+IFERROR(SUMIF('7.16'!C:C, C3, '7.16'!G:G), 0)+IFERROR(SUMIF('7.17'!C:C, C3, '7.17'!G:G), 0)+IFERROR(SUMIF('7.18'!C:C, C3, '7.18'!G:G), 0)+IFERROR(SUMIF('7.19'!C:C, C3, '7.19'!G:G), 0)+IFERROR(SUMIF('7.20'!C:C, C3, '7.20'!G:G), 0)+IFERROR(SUMIF('7.21'!C:C, C3, '7.21'!G:G), 0)+IFERROR(SUMIF('7.22'!C:C, C3, '7.22'!G:G), 0)+IFERROR(SUMIF('7.23'!C:C, C3, '7.23'!G:G), 0)+IFERROR(SUMIF('7.24'!C:C, C3, '7.24'!G:G), 0)+IFERROR(SUMIF('7.25'!C:C, C3, '7.25'!G:G), 0)+IFERROR(SUMIF('7.26'!C:C, C3, '7.26'!G:G), 0)+IFERROR(SUMIF('7.27'!C:C, C3, '7.27'!G:G), 0)+IFERROR(SUMIF('7.28'!C:C, C3, '7.28'!G:G), 0)+IFERROR(SUMIF('7.29'!C:C, C3, '7.29'!G:G), 0)+IFERROR(SUMIF('7.30'!C:C, C3, '7.30'!G:G), 0)+IFERROR(SUMIF('7.31'!C:C, C3, '7.31'!G:G), 0)+IFERROR(SUMIF('8.1'!C:C, C3, '8.1'!G:G), 0)+IFERROR(SUMIF('8.2'!C:C, C3, '8.2'!G:G), 0)+IFERROR(SUMIF('8.3'!C:C, C3, '8.3'!G:G), 0)+IFERROR(SUMIF('8.4'!C:C, C3, '8.4'!G:G), 0)+IFERROR(SUMIF('8.5'!C:C, C3, '8.5'!G:G), 0)+IFERROR(SUMIF('8.6'!C:C, C3, '8.6'!G:G), 0)+IFERROR(SUMIF('8.7'!C:C, C3, '8.7'!G:G), 0)+IFERROR(SUMIF('8.8'!C:C, C3, '8.8'!G:G), 0)+IFERROR(SUMIF('8.9'!C:C, C3, '8.9'!G:G), 0)+IFERROR(SUMIF('8.10'!C:C, C3, '8.10'!G:G), 0)+IFERROR(SUMIF('8.11'!C:C, C3, '8.11'!G:G), 0)+IFERROR(SUMIF('8.12'!C:C, C3, '8.12'!G:G), 0)+IFERROR(SUMIF('8.13'!C:C, C3, '8.13'!G:G), 0)+IFERROR(SUMIF('8.14'!C:C, C3, '8.14'!G:G), 0)+IFERROR(SUMIF('8.15'!C:C, C3, '8.15'!G:G), 0)+IFERROR(SUMIF('8.16'!C:C, C3, '8.16'!G:G), 0)+IFERROR(SUMIF('8.17'!C:C, C3, '8.17'!G:G), 0)+IFERROR(SUMIF('8.18'!C:C, C3, '8.18'!G:G), 0)+IFERROR(SUMIF('8.19'!C:C, C3, '8.19'!G:G), 0)+IFERROR(SUMIF('8.20'!C:C, C3, '8.20'!G:G), 0)+IFERROR(SUMIF('8.21'!C:C, C3, '8.21'!G:G), 0)+IFERROR(SUMIF('8.22'!C:C, C3, '8.22'!G:G), 0)+IFERROR(SUMIF('8.23'!C:C, C3, '8.23'!G:G), 0)+IFERROR(SUMIF('8.24'!C:C, C3, '8.24'!G:G), 0)+IFERROR(SUMIF('8.25'!C:C, C3, '8.25'!G:G), 0)+IFERROR(SUMIF('8.26'!C:C, C3, '8.26'!G:G), 0)+IFERROR(SUMIF('8.27'!C:C, C3, '8.27'!G:G), 0)+IFERROR(SUMIF('8.28'!C:C, C3, '8.28'!G:G), 0)+IFERROR(SUMIF('8.29'!C:C, C3, '8.29'!G:G), 0)+IFERROR(SUMIF('8.30'!C:C, C3, '8.30'!G:G), 0)+IFERROR(SUMIF('8.31'!C:C, C3, '8.31'!G:G), 0)+IFERROR(SUMIF('9.1'!C:C, C3, '9.1'!G:G), 0)+IFERROR(SUMIF('9.2'!C:C, C3, '9.2'!G:G), 0)+IFERROR(SUMIF('9.3'!C:C, C3, '9.3'!G:G), 0)+IFERROR(SUMIF('9.4'!C:C, C3, '9.4'!G:G), 0)+IFERROR(SUMIF('9.5'!C:C, C3, '9.5'!G:G), 0)+IFERROR(SUMIF('9.6'!C:C, C3, '9.6'!G:G), 0)+IFERROR(SUMIF('9.7'!C:C, C3, '9.7'!G:G), 0)+IFERROR(SUMIF('9.8'!C:C, C3, '9.8'!G:G), 0)+IFERROR(SUMIF('9.9'!C:C, C3, '9.9'!G:G), 0)+IFERROR(SUMIF('9.10'!C:C, C3, '9.10'!G:G), 0)+IFERROR(SUMIF('9.11'!C:C, C3, '9.11'!G:G), 0)+IFERROR(SUMIF('9.12'!C:C, C3, '9.12'!G:G), 0)+IFERROR(SUMIF('9.13'!C:C, C3, '9.13'!G:G), 0)+IFERROR(SUMIF('9.14'!C:C, C3, '9.14'!G:G), 0)+IFERROR(SUMIF('9.15'!C:C, C3, '9.15'!G:G), 0)+IFERROR(SUMIF('9.16'!C:C, C3, '9.16'!G:G), 0)+IFERROR(SUMIF('9.17'!C:C, C3, '9.17'!G:G), 0)+IFERROR(SUMIF('9.18'!C:C, C3, '9.18'!G:G), 0)+IFERROR(SUMIF('9.19'!C:C, C3, '9.19'!G:G), 0)+IFERROR(SUMIF('9.20'!C:C, C3, '9.20'!G:G), 0)+IFERROR(SUMIF('9.21'!C:C, C3, '9.21'!G:G), 0)+IFERROR(SUMIF('9.22'!C:C, C3, '9.22'!G:G), 0)+IFERROR(SUMIF('9.23'!C:C, C3, '9.23'!G:G), 0)+IFERROR(SUMIF('9.24'!C:C, C3, '9.24'!G:G), 0)+IFERROR(SUMIF('9.25'!C:C, C3, '9.25'!G:G), 0)+IFERROR(SUMIF('9.26'!C:C, C3, '9.26'!G:G), 0)+IFERROR(SUMIF('9.27'!C:C, C3, '9.27'!G:G), 0)+IFERROR(SUMIF('9.28'!C:C, C3, '9.28'!G:G), 0)+IFERROR(SUMIF('9.29'!C:C, C3, '9.29'!G:G), 0)+IFERROR(SUMIF('9.30'!C:C, C3, '9.30'!G:G), 0)+IFERROR(SUMIF('10.1'!C:C, C3, '10.1'!G:G), 0)+IFERROR(SUMIF('10.2'!C:C, C3, '10.2'!G:G), 0)+IFERROR(SUMIF('10.3'!C:C, C3, '10.3'!G:G), 0)+IFERROR(SUMIF('10.4'!C:C, C3, '10.4'!G:G), 0)+IFERROR(SUMIF('10.5'!C:C, C3, '10.5'!G:G), 0)+IFERROR(SUMIF('10.6'!C:C, C3, '10.6'!G:G), 0)+IFERROR(SUMIF('10.7'!C:C, C3, '10.7'!G:G), 0)+IFERROR(SUMIF('10.8'!C:C, C3, '10.8'!G:G), 0)+IFERROR(SUMIF('10.9'!C:C, C3, '10.9'!G:G), 0)+IFERROR(SUMIF('10.10'!C:C, C3, '10.10'!G:G), 0)+IFERROR(SUMIF('10.11'!C:C, C3, '10.11'!G:G), 0)+IFERROR(SUMIF('10.12'!C:C, C3, '10.12'!G:G), 0)+IFERROR(SUMIF('10.13'!C:C, C3, '10.13'!G:G), 0)+IFERROR(SUMIF('10.14'!C:C, C3, '10.14'!G:G), 0)+IFERROR(SUMIF('10.15'!C:C, C3, '10.15'!G:G), 0)+IFERROR(SUMIF('10.16'!C:C, C3, '10.16'!G:G), 0)+IFERROR(SUMIF('10.17'!C:C, C3, '10.17'!G:G), 0)+IFERROR(SUMIF('10.18'!C:C, C3, '10.18'!G:G), 0)+IFERROR(SUMIF('10.19'!C:C, C3, '10.19'!G:G), 0)+IFERROR(SUMIF('10.20'!C:C, C3, '10.20'!G:G), 0)+IFERROR(SUMIF('10.21'!C:C, C3, '10.21'!G:G), 0)+IFERROR(SUMIF('10.22'!C:C, C3, '10.22'!G:G), 0)+IFERROR(SUMIF('10.23'!C:C, C3, '10.23'!G:G), 0)+IFERROR(SUMIF('10.24'!C:C, C3, '10.24'!G:G), 0)+IFERROR(SUMIF('10.25'!C:C, C3, '10.25'!G:G), 0)+IFERROR(SUMIF('10.26'!C:C, C3, '10.26'!G:G), 0)+IFERROR(SUMIF('10.27'!C:C, C3, '10.27'!G:G), 0)+IFERROR(SUMIF('10.28'!C:C, C3, '10.28'!G:G), 0)+IFERROR(SUMIF('10.29'!C:C, C3, '10.29'!G:G), 0)+IFERROR(SUMIF('10.30'!C:C, C3, '10.30'!G:G), 0)+IFERROR(SUMIF('10.31'!C:C, C3, '10.31'!G:G), 0)+IFERROR(SUMIF('11.1'!C:C, C3, '11.1'!G:G), 0)+IFERROR(SUMIF('11.2'!C:C, C3, '11.2'!G:G), 0)+IFERROR(SUMIF('11.3'!C:C, C3, '11.3'!G:G), 0)+IFERROR(SUMIF('11.4'!C:C, C3, '11.4'!G:G), 0)+IFERROR(SUMIF('11.5'!C:C, C3, '11.5'!G:G), 0)+IFERROR(SUMIF('11.6'!C:C, C3, '11.6'!G:G), 0)+IFERROR(SUMIF('11.7'!C:C, C3, '11.7'!G:G), 0)+IFERROR(SUMIF('11.8'!C:C, C3, '11.8'!G:G), 0)+IFERROR(SUMIF('11.9'!C:C, C3, '11.9'!G:G), 0)+IFERROR(SUMIF('11.10'!C:C, C3, '11.10'!G:G), 0)+IFERROR(SUMIF('11.11'!C:C, C3, '11.11'!G:G), 0)+IFERROR(SUMIF('11.12'!C:C, C3, '11.12'!G:G), 0)+IFERROR(SUMIF('11.13'!C:C, C3, '11.13'!G:G), 0)+IFERROR(SUMIF('11.14'!C:C, C3, '11.14'!G:G), 0)+IFERROR(SUMIF('11.15'!C:C, C3, '11.15'!G:G), 0)+IFERROR(SUMIF('11.16'!C:C, C3, '11.16'!G:G), 0)+IFERROR(SUMIF('11.17'!C:C, C3, '11.17'!G:G), 0)+IFERROR(SUMIF('11.18'!C:C, C3, '11.18'!G:G), 0)+IFERROR(SUMIF('11.19'!C:C, C3, '11.19'!G:G), 0)+IFERROR(SUMIF('11.20'!C:C, C3, '11.20'!G:G), 0)+IFERROR(SUMIF('11.21'!C:C, C3, '11.21'!G:G), 0)+IFERROR(SUMIF('11.22'!C:C, C3, '11.22'!G:G), 0)+IFERROR(SUMIF('11.23'!C:C, C3, '11.23'!G:G), 0)+IFERROR(SUMIF('11.24'!C:C, C3, '11.24'!G:G), 0)+IFERROR(SUMIF('11.25'!C:C, C3, '11.25'!G:G), 0)+IFERROR(SUMIF('11.26'!C:C, C3, '11.26'!G:G), 0)+IFERROR(SUMIF('11.27'!C:C, C3, '11.27'!G:G), 0)+IFERROR(SUMIF('11.28'!C:C, C3, '11.28'!G:G), 0)+IFERROR(SUMIF('11.29'!C:C, C3, '11.29'!G:G), 0)+IFERROR(SUMIF('11.30'!C:C, C3, '11.30'!G:G), 0)+IFERROR(SUMIF('12.1'!C:C, C3, '12.1'!G:G), 0)+IFERROR(SUMIF('12.2'!C:C, C3, '12.2'!G:G), 0)+IFERROR(SUMIF('12.3'!C:C, C3, '12.3'!G:G), 0)+IFERROR(SUMIF('12.4'!C:C, C3, '12.4'!G:G), 0)+IFERROR(SUMIF('12.5'!C:C, C3, '12.5'!G:G), 0)+IFERROR(SUMIF('12.6'!C:C, C3, '12.6'!G:G), 0)+IFERROR(SUMIF('12.7'!C:C, C3, '12.7'!G:G), 0)+IFERROR(SUMIF('12.8'!C:C, C3, '12.8'!G:G), 0)+IFERROR(SUMIF('12.9'!C:C, C3, '12.9'!G:G), 0)+IFERROR(SUMIF('12.10'!C:C, C3, '12.10'!G:G), 0)+IFERROR(SUMIF('12.11'!C:C, C3, '12.11'!G:G), 0)+IFERROR(SUMIF('12.12'!C:C, C3, '12.12'!G:G), 0)+IFERROR(SUMIF('12.13'!C:C, C3, '12.13'!G:G), 0)+IFERROR(SUMIF('12.14'!C:C, C3, '12.14'!G:G), 0)+IFERROR(SUMIF('12.15'!C:C, C3, '12.15'!G:G), 0)+IFERROR(SUMIF('12.16'!C:C, C3, '12.16'!G:G), 0)+IFERROR(SUMIF('12.17'!C:C, C3, '12.17'!G:G), 0)+IFERROR(SUMIF('12.18'!C:C, C3, '12.18'!G:G), 0)+IFERROR(SUMIF('12.19'!C:C, C3, '12.19'!G:G), 0)+IFERROR(SUMIF('12.20'!C:C, C3, '12.20'!G:G), 0)+IFERROR(SUMIF('12.21'!C:C, C3, '12.21'!G:G), 0)+IFERROR(SUMIF('12.22'!C:C, C3, '12.22'!G:G), 0)+IFERROR(SUMIF('12.23'!C:C, C3, '12.23'!G:G), 0)+IFERROR(SUMIF('12.24'!C:C, C3, '12.24'!G:G), 0)+IFERROR(SUMIF('12.25'!C:C, C3, '12.25'!G:G), 0)+IFERROR(SUMIF('12.26'!C:C, C3, '12.26'!G:G), 0)+IFERROR(SUMIF('12.27'!C:C, C3, '12.27'!G:G), 0)+IFERROR(SUMIF('12.28'!C:C, C3, '12.28'!G:G), 0)+IFERROR(SUMIF('12.29'!C:C, C3, '12.29'!G:G), 0)+IFERROR(SUMIF('12.30'!C:C, C3, '12.30'!G:G), 0)+IFERROR(SUMIF('12.31'!C:C, C3, '12.31'!G:G), 0)</f>
        <v>0</v>
      </c>
      <c r="H3" s="6" t="s">
        <v>6</v>
      </c>
    </row>
    <row r="4" ht="22.5" customHeight="1">
      <c r="A4" s="7">
        <v>1.0</v>
      </c>
      <c r="B4" s="8" t="s">
        <v>7</v>
      </c>
      <c r="C4" s="8" t="s">
        <v>8</v>
      </c>
      <c r="D4" s="9" t="s">
        <v>9</v>
      </c>
      <c r="E4" s="8" t="s">
        <v>10</v>
      </c>
      <c r="F4" s="8">
        <f t="shared" si="1"/>
        <v>0</v>
      </c>
      <c r="G4" s="10">
        <f t="shared" si="2"/>
        <v>0</v>
      </c>
      <c r="H4" s="11"/>
    </row>
    <row r="5" ht="22.5" customHeight="1">
      <c r="A5" s="12">
        <v>2.0</v>
      </c>
      <c r="B5" s="13" t="s">
        <v>11</v>
      </c>
      <c r="C5" s="13" t="s">
        <v>12</v>
      </c>
      <c r="D5" s="14" t="s">
        <v>9</v>
      </c>
      <c r="E5" s="8" t="s">
        <v>10</v>
      </c>
      <c r="F5" s="8">
        <f t="shared" si="1"/>
        <v>0</v>
      </c>
      <c r="G5" s="10">
        <f t="shared" si="2"/>
        <v>0</v>
      </c>
      <c r="H5" s="15"/>
    </row>
    <row r="6" ht="22.5" customHeight="1">
      <c r="A6" s="12">
        <v>3.0</v>
      </c>
      <c r="B6" s="13" t="s">
        <v>13</v>
      </c>
      <c r="C6" s="13" t="s">
        <v>14</v>
      </c>
      <c r="D6" s="14" t="s">
        <v>9</v>
      </c>
      <c r="E6" s="8" t="s">
        <v>10</v>
      </c>
      <c r="F6" s="8">
        <f t="shared" si="1"/>
        <v>0</v>
      </c>
      <c r="G6" s="10">
        <f t="shared" si="2"/>
        <v>0</v>
      </c>
      <c r="H6" s="15"/>
    </row>
    <row r="7" ht="22.5" customHeight="1">
      <c r="A7" s="7">
        <v>4.0</v>
      </c>
      <c r="B7" s="13" t="s">
        <v>15</v>
      </c>
      <c r="C7" s="13" t="s">
        <v>16</v>
      </c>
      <c r="D7" s="14" t="s">
        <v>9</v>
      </c>
      <c r="E7" s="8" t="s">
        <v>17</v>
      </c>
      <c r="F7" s="8">
        <f t="shared" si="1"/>
        <v>0</v>
      </c>
      <c r="G7" s="10">
        <f t="shared" si="2"/>
        <v>0</v>
      </c>
      <c r="H7" s="15"/>
    </row>
    <row r="8" ht="22.5" customHeight="1">
      <c r="A8" s="7">
        <v>5.0</v>
      </c>
      <c r="B8" s="13" t="s">
        <v>18</v>
      </c>
      <c r="C8" s="13" t="s">
        <v>19</v>
      </c>
      <c r="D8" s="14" t="s">
        <v>9</v>
      </c>
      <c r="E8" s="8" t="s">
        <v>10</v>
      </c>
      <c r="F8" s="8">
        <f t="shared" si="1"/>
        <v>0</v>
      </c>
      <c r="G8" s="10">
        <f t="shared" si="2"/>
        <v>0</v>
      </c>
      <c r="H8" s="15"/>
    </row>
    <row r="9" ht="22.5" customHeight="1">
      <c r="A9" s="7">
        <v>6.0</v>
      </c>
      <c r="B9" s="13" t="s">
        <v>20</v>
      </c>
      <c r="C9" s="13" t="s">
        <v>21</v>
      </c>
      <c r="D9" s="14" t="s">
        <v>9</v>
      </c>
      <c r="E9" s="8" t="s">
        <v>17</v>
      </c>
      <c r="F9" s="8">
        <f t="shared" si="1"/>
        <v>0</v>
      </c>
      <c r="G9" s="10">
        <f t="shared" si="2"/>
        <v>0</v>
      </c>
      <c r="H9" s="15"/>
    </row>
    <row r="10" ht="22.5" customHeight="1">
      <c r="A10" s="12">
        <v>7.0</v>
      </c>
      <c r="B10" s="13" t="s">
        <v>22</v>
      </c>
      <c r="C10" s="16" t="s">
        <v>23</v>
      </c>
      <c r="D10" s="14" t="s">
        <v>9</v>
      </c>
      <c r="E10" s="8" t="s">
        <v>17</v>
      </c>
      <c r="F10" s="8">
        <f t="shared" si="1"/>
        <v>0</v>
      </c>
      <c r="G10" s="10">
        <f t="shared" si="2"/>
        <v>0</v>
      </c>
      <c r="H10" s="15"/>
    </row>
    <row r="11" ht="22.5" customHeight="1">
      <c r="A11" s="12">
        <v>8.0</v>
      </c>
      <c r="B11" s="13" t="s">
        <v>24</v>
      </c>
      <c r="C11" s="13" t="s">
        <v>25</v>
      </c>
      <c r="D11" s="14" t="s">
        <v>9</v>
      </c>
      <c r="E11" s="8" t="s">
        <v>17</v>
      </c>
      <c r="F11" s="8">
        <f t="shared" si="1"/>
        <v>0</v>
      </c>
      <c r="G11" s="10">
        <f t="shared" si="2"/>
        <v>0</v>
      </c>
      <c r="H11" s="15"/>
    </row>
    <row r="12" ht="22.5" customHeight="1">
      <c r="A12" s="7">
        <v>9.0</v>
      </c>
      <c r="B12" s="17" t="s">
        <v>26</v>
      </c>
      <c r="C12" s="13" t="s">
        <v>27</v>
      </c>
      <c r="D12" s="14" t="s">
        <v>9</v>
      </c>
      <c r="E12" s="8" t="s">
        <v>17</v>
      </c>
      <c r="F12" s="8">
        <f t="shared" si="1"/>
        <v>0</v>
      </c>
      <c r="G12" s="10">
        <f t="shared" si="2"/>
        <v>0</v>
      </c>
      <c r="H12" s="15"/>
    </row>
    <row r="13" ht="22.5" customHeight="1">
      <c r="A13" s="7">
        <v>10.0</v>
      </c>
      <c r="B13" s="18" t="s">
        <v>28</v>
      </c>
      <c r="C13" s="18" t="s">
        <v>29</v>
      </c>
      <c r="D13" s="14" t="s">
        <v>9</v>
      </c>
      <c r="E13" s="8" t="s">
        <v>17</v>
      </c>
      <c r="F13" s="8">
        <f t="shared" si="1"/>
        <v>0</v>
      </c>
      <c r="G13" s="10">
        <f t="shared" si="2"/>
        <v>0</v>
      </c>
      <c r="H13" s="15"/>
    </row>
    <row r="14" ht="22.5" customHeight="1">
      <c r="A14" s="7">
        <v>11.0</v>
      </c>
      <c r="B14" s="18" t="s">
        <v>30</v>
      </c>
      <c r="C14" s="18" t="s">
        <v>31</v>
      </c>
      <c r="D14" s="14" t="s">
        <v>9</v>
      </c>
      <c r="E14" s="8" t="s">
        <v>17</v>
      </c>
      <c r="F14" s="8">
        <f t="shared" si="1"/>
        <v>0</v>
      </c>
      <c r="G14" s="10">
        <f t="shared" si="2"/>
        <v>0</v>
      </c>
      <c r="H14" s="15"/>
    </row>
    <row r="15" ht="22.5" customHeight="1">
      <c r="A15" s="12">
        <v>12.0</v>
      </c>
      <c r="B15" s="13" t="s">
        <v>32</v>
      </c>
      <c r="C15" s="18" t="s">
        <v>33</v>
      </c>
      <c r="D15" s="14" t="s">
        <v>9</v>
      </c>
      <c r="E15" s="8" t="s">
        <v>17</v>
      </c>
      <c r="F15" s="8">
        <f t="shared" si="1"/>
        <v>0</v>
      </c>
      <c r="G15" s="10">
        <f t="shared" si="2"/>
        <v>0</v>
      </c>
      <c r="H15" s="15"/>
    </row>
    <row r="16" ht="22.5" customHeight="1">
      <c r="A16" s="12">
        <v>13.0</v>
      </c>
      <c r="B16" s="13" t="s">
        <v>34</v>
      </c>
      <c r="C16" s="19" t="s">
        <v>35</v>
      </c>
      <c r="D16" s="14" t="s">
        <v>9</v>
      </c>
      <c r="E16" s="8" t="s">
        <v>17</v>
      </c>
      <c r="F16" s="8">
        <f t="shared" si="1"/>
        <v>0</v>
      </c>
      <c r="G16" s="10">
        <f t="shared" si="2"/>
        <v>0</v>
      </c>
      <c r="H16" s="15"/>
    </row>
    <row r="17" ht="22.5" customHeight="1">
      <c r="A17" s="7">
        <v>14.0</v>
      </c>
      <c r="B17" s="13" t="s">
        <v>36</v>
      </c>
      <c r="C17" s="20" t="s">
        <v>37</v>
      </c>
      <c r="D17" s="14" t="s">
        <v>9</v>
      </c>
      <c r="E17" s="8" t="s">
        <v>17</v>
      </c>
      <c r="F17" s="8">
        <f t="shared" si="1"/>
        <v>0</v>
      </c>
      <c r="G17" s="10">
        <f t="shared" si="2"/>
        <v>0</v>
      </c>
      <c r="H17" s="15"/>
    </row>
    <row r="18" ht="22.5" customHeight="1">
      <c r="A18" s="7">
        <v>15.0</v>
      </c>
      <c r="B18" s="18" t="s">
        <v>38</v>
      </c>
      <c r="C18" s="13" t="s">
        <v>39</v>
      </c>
      <c r="D18" s="14" t="s">
        <v>9</v>
      </c>
      <c r="E18" s="8" t="s">
        <v>10</v>
      </c>
      <c r="F18" s="8">
        <f t="shared" si="1"/>
        <v>0</v>
      </c>
      <c r="G18" s="10">
        <f t="shared" si="2"/>
        <v>0</v>
      </c>
      <c r="H18" s="15"/>
    </row>
    <row r="19" ht="22.5" customHeight="1">
      <c r="A19" s="7">
        <v>16.0</v>
      </c>
      <c r="B19" s="18" t="s">
        <v>40</v>
      </c>
      <c r="C19" s="13" t="s">
        <v>41</v>
      </c>
      <c r="D19" s="14" t="s">
        <v>9</v>
      </c>
      <c r="E19" s="8" t="s">
        <v>17</v>
      </c>
      <c r="F19" s="8">
        <f t="shared" si="1"/>
        <v>0</v>
      </c>
      <c r="G19" s="10">
        <f t="shared" si="2"/>
        <v>0</v>
      </c>
      <c r="H19" s="15"/>
    </row>
    <row r="20" ht="22.5" customHeight="1">
      <c r="A20" s="12">
        <v>17.0</v>
      </c>
      <c r="B20" s="18" t="s">
        <v>42</v>
      </c>
      <c r="C20" s="13" t="s">
        <v>43</v>
      </c>
      <c r="D20" s="14" t="s">
        <v>9</v>
      </c>
      <c r="E20" s="8" t="s">
        <v>17</v>
      </c>
      <c r="F20" s="8">
        <f t="shared" si="1"/>
        <v>0</v>
      </c>
      <c r="G20" s="10">
        <f t="shared" si="2"/>
        <v>0</v>
      </c>
      <c r="H20" s="15"/>
    </row>
    <row r="21" ht="22.5" customHeight="1">
      <c r="A21" s="12">
        <v>18.0</v>
      </c>
      <c r="B21" s="18" t="s">
        <v>44</v>
      </c>
      <c r="C21" s="13" t="s">
        <v>45</v>
      </c>
      <c r="D21" s="14" t="s">
        <v>9</v>
      </c>
      <c r="E21" s="8" t="s">
        <v>17</v>
      </c>
      <c r="F21" s="8">
        <f t="shared" si="1"/>
        <v>0</v>
      </c>
      <c r="G21" s="10">
        <f t="shared" si="2"/>
        <v>0</v>
      </c>
      <c r="H21" s="15"/>
    </row>
    <row r="22" ht="22.5" customHeight="1">
      <c r="A22" s="7">
        <v>19.0</v>
      </c>
      <c r="B22" s="13" t="s">
        <v>46</v>
      </c>
      <c r="C22" s="13" t="s">
        <v>47</v>
      </c>
      <c r="D22" s="14" t="s">
        <v>9</v>
      </c>
      <c r="E22" s="8" t="s">
        <v>17</v>
      </c>
      <c r="F22" s="8">
        <f t="shared" si="1"/>
        <v>0</v>
      </c>
      <c r="G22" s="10">
        <f t="shared" si="2"/>
        <v>0</v>
      </c>
      <c r="H22" s="15"/>
    </row>
    <row r="23" ht="22.5" customHeight="1">
      <c r="A23" s="7">
        <v>20.0</v>
      </c>
      <c r="B23" s="13" t="s">
        <v>48</v>
      </c>
      <c r="C23" s="13" t="s">
        <v>49</v>
      </c>
      <c r="D23" s="14" t="s">
        <v>9</v>
      </c>
      <c r="E23" s="8" t="s">
        <v>10</v>
      </c>
      <c r="F23" s="8">
        <f t="shared" si="1"/>
        <v>0</v>
      </c>
      <c r="G23" s="10">
        <f t="shared" si="2"/>
        <v>0</v>
      </c>
      <c r="H23" s="15"/>
    </row>
    <row r="24" ht="22.5" customHeight="1">
      <c r="A24" s="7">
        <v>21.0</v>
      </c>
      <c r="B24" s="13" t="s">
        <v>50</v>
      </c>
      <c r="C24" s="13" t="s">
        <v>51</v>
      </c>
      <c r="D24" s="14" t="s">
        <v>9</v>
      </c>
      <c r="E24" s="8" t="s">
        <v>17</v>
      </c>
      <c r="F24" s="8">
        <f t="shared" si="1"/>
        <v>0</v>
      </c>
      <c r="G24" s="10">
        <f t="shared" si="2"/>
        <v>0</v>
      </c>
      <c r="H24" s="15"/>
    </row>
    <row r="25" ht="22.5" customHeight="1">
      <c r="A25" s="12">
        <v>22.0</v>
      </c>
      <c r="B25" s="13" t="s">
        <v>52</v>
      </c>
      <c r="C25" s="13" t="s">
        <v>53</v>
      </c>
      <c r="D25" s="14" t="s">
        <v>9</v>
      </c>
      <c r="E25" s="8" t="s">
        <v>54</v>
      </c>
      <c r="F25" s="8">
        <f t="shared" si="1"/>
        <v>0</v>
      </c>
      <c r="G25" s="10">
        <f t="shared" si="2"/>
        <v>0</v>
      </c>
      <c r="H25" s="15"/>
    </row>
    <row r="26" ht="22.5" customHeight="1">
      <c r="A26" s="12">
        <v>23.0</v>
      </c>
      <c r="B26" s="13" t="s">
        <v>55</v>
      </c>
      <c r="C26" s="13" t="s">
        <v>56</v>
      </c>
      <c r="D26" s="14" t="s">
        <v>9</v>
      </c>
      <c r="E26" s="8" t="s">
        <v>17</v>
      </c>
      <c r="F26" s="8">
        <f t="shared" si="1"/>
        <v>0</v>
      </c>
      <c r="G26" s="10">
        <f t="shared" si="2"/>
        <v>0</v>
      </c>
      <c r="H26" s="15"/>
    </row>
    <row r="27" ht="22.5" customHeight="1">
      <c r="A27" s="7">
        <v>24.0</v>
      </c>
      <c r="B27" s="13" t="s">
        <v>57</v>
      </c>
      <c r="C27" s="13" t="s">
        <v>58</v>
      </c>
      <c r="D27" s="14" t="s">
        <v>9</v>
      </c>
      <c r="E27" s="8" t="s">
        <v>17</v>
      </c>
      <c r="F27" s="8">
        <f t="shared" si="1"/>
        <v>0</v>
      </c>
      <c r="G27" s="10">
        <f t="shared" si="2"/>
        <v>0</v>
      </c>
      <c r="H27" s="15"/>
    </row>
    <row r="28" ht="22.5" customHeight="1">
      <c r="A28" s="7">
        <v>25.0</v>
      </c>
      <c r="B28" s="13" t="s">
        <v>59</v>
      </c>
      <c r="C28" s="13" t="s">
        <v>60</v>
      </c>
      <c r="D28" s="14" t="s">
        <v>9</v>
      </c>
      <c r="E28" s="8" t="s">
        <v>17</v>
      </c>
      <c r="F28" s="8">
        <f t="shared" si="1"/>
        <v>0</v>
      </c>
      <c r="G28" s="10">
        <f t="shared" si="2"/>
        <v>0</v>
      </c>
      <c r="H28" s="15"/>
    </row>
    <row r="29" ht="22.5" customHeight="1">
      <c r="A29" s="7">
        <v>26.0</v>
      </c>
      <c r="B29" s="21" t="s">
        <v>61</v>
      </c>
      <c r="C29" s="13" t="s">
        <v>62</v>
      </c>
      <c r="D29" s="14" t="s">
        <v>9</v>
      </c>
      <c r="E29" s="8" t="s">
        <v>17</v>
      </c>
      <c r="F29" s="8">
        <f t="shared" si="1"/>
        <v>0</v>
      </c>
      <c r="G29" s="10">
        <f t="shared" si="2"/>
        <v>0</v>
      </c>
      <c r="H29" s="15"/>
    </row>
    <row r="30" ht="22.5" customHeight="1">
      <c r="A30" s="7">
        <v>27.0</v>
      </c>
      <c r="B30" s="21" t="s">
        <v>63</v>
      </c>
      <c r="C30" s="13" t="s">
        <v>64</v>
      </c>
      <c r="D30" s="14" t="s">
        <v>9</v>
      </c>
      <c r="E30" s="8" t="s">
        <v>17</v>
      </c>
      <c r="F30" s="8">
        <f t="shared" si="1"/>
        <v>0</v>
      </c>
      <c r="G30" s="10">
        <f t="shared" si="2"/>
        <v>0</v>
      </c>
      <c r="H30" s="15"/>
    </row>
    <row r="31" ht="22.5" customHeight="1">
      <c r="A31" s="7">
        <v>28.0</v>
      </c>
      <c r="B31" s="22" t="s">
        <v>65</v>
      </c>
      <c r="C31" s="13" t="s">
        <v>66</v>
      </c>
      <c r="D31" s="14" t="s">
        <v>9</v>
      </c>
      <c r="E31" s="8" t="s">
        <v>17</v>
      </c>
      <c r="F31" s="8">
        <f t="shared" si="1"/>
        <v>0</v>
      </c>
      <c r="G31" s="10">
        <f t="shared" si="2"/>
        <v>0</v>
      </c>
      <c r="H31" s="15"/>
    </row>
    <row r="32" ht="22.5" customHeight="1">
      <c r="A32" s="12">
        <v>29.0</v>
      </c>
      <c r="B32" s="22" t="s">
        <v>67</v>
      </c>
      <c r="C32" s="13" t="s">
        <v>68</v>
      </c>
      <c r="D32" s="14" t="s">
        <v>9</v>
      </c>
      <c r="E32" s="8" t="s">
        <v>17</v>
      </c>
      <c r="F32" s="8">
        <f t="shared" si="1"/>
        <v>0</v>
      </c>
      <c r="G32" s="10">
        <f t="shared" si="2"/>
        <v>0</v>
      </c>
      <c r="H32" s="15"/>
    </row>
    <row r="33" ht="22.5" customHeight="1">
      <c r="A33" s="12">
        <v>30.0</v>
      </c>
      <c r="B33" s="13" t="s">
        <v>69</v>
      </c>
      <c r="C33" s="13" t="s">
        <v>70</v>
      </c>
      <c r="D33" s="14" t="s">
        <v>9</v>
      </c>
      <c r="E33" s="8" t="s">
        <v>17</v>
      </c>
      <c r="F33" s="8">
        <f t="shared" si="1"/>
        <v>0</v>
      </c>
      <c r="G33" s="10">
        <f t="shared" si="2"/>
        <v>0</v>
      </c>
      <c r="H33" s="15"/>
    </row>
    <row r="34" ht="22.5" customHeight="1">
      <c r="A34" s="7">
        <v>31.0</v>
      </c>
      <c r="B34" s="13" t="s">
        <v>71</v>
      </c>
      <c r="C34" s="13" t="s">
        <v>72</v>
      </c>
      <c r="D34" s="14" t="s">
        <v>9</v>
      </c>
      <c r="E34" s="8" t="s">
        <v>17</v>
      </c>
      <c r="F34" s="8">
        <f t="shared" si="1"/>
        <v>0</v>
      </c>
      <c r="G34" s="10">
        <f t="shared" si="2"/>
        <v>0</v>
      </c>
      <c r="H34" s="15"/>
    </row>
    <row r="35" ht="22.5" customHeight="1">
      <c r="A35" s="7">
        <v>32.0</v>
      </c>
      <c r="B35" s="13" t="s">
        <v>73</v>
      </c>
      <c r="C35" s="13" t="s">
        <v>74</v>
      </c>
      <c r="D35" s="14" t="s">
        <v>9</v>
      </c>
      <c r="E35" s="8" t="s">
        <v>17</v>
      </c>
      <c r="F35" s="8">
        <f t="shared" si="1"/>
        <v>0</v>
      </c>
      <c r="G35" s="10">
        <f t="shared" si="2"/>
        <v>0</v>
      </c>
      <c r="H35" s="15"/>
    </row>
    <row r="36" ht="22.5" customHeight="1">
      <c r="A36" s="7">
        <v>33.0</v>
      </c>
      <c r="B36" s="13" t="s">
        <v>75</v>
      </c>
      <c r="C36" s="13" t="s">
        <v>76</v>
      </c>
      <c r="D36" s="14" t="s">
        <v>9</v>
      </c>
      <c r="E36" s="8" t="s">
        <v>17</v>
      </c>
      <c r="F36" s="8">
        <f t="shared" si="1"/>
        <v>0</v>
      </c>
      <c r="G36" s="10">
        <f t="shared" si="2"/>
        <v>0</v>
      </c>
      <c r="H36" s="15"/>
    </row>
    <row r="37" ht="22.5" customHeight="1">
      <c r="A37" s="12">
        <v>34.0</v>
      </c>
      <c r="B37" s="13" t="s">
        <v>77</v>
      </c>
      <c r="C37" s="13" t="s">
        <v>78</v>
      </c>
      <c r="D37" s="14" t="s">
        <v>9</v>
      </c>
      <c r="E37" s="8" t="s">
        <v>17</v>
      </c>
      <c r="F37" s="8">
        <f t="shared" si="1"/>
        <v>0</v>
      </c>
      <c r="G37" s="10">
        <f t="shared" si="2"/>
        <v>0</v>
      </c>
      <c r="H37" s="15"/>
    </row>
    <row r="38" ht="22.5" customHeight="1">
      <c r="A38" s="12">
        <v>35.0</v>
      </c>
      <c r="B38" s="13" t="s">
        <v>79</v>
      </c>
      <c r="C38" s="13" t="s">
        <v>80</v>
      </c>
      <c r="D38" s="14" t="s">
        <v>81</v>
      </c>
      <c r="E38" s="8" t="s">
        <v>17</v>
      </c>
      <c r="F38" s="8">
        <f t="shared" si="1"/>
        <v>0</v>
      </c>
      <c r="G38" s="10">
        <f t="shared" si="2"/>
        <v>0</v>
      </c>
      <c r="H38" s="15"/>
    </row>
    <row r="39" ht="22.5" customHeight="1">
      <c r="A39" s="12">
        <v>36.0</v>
      </c>
      <c r="B39" s="13" t="s">
        <v>82</v>
      </c>
      <c r="C39" s="13" t="s">
        <v>83</v>
      </c>
      <c r="D39" s="14" t="s">
        <v>9</v>
      </c>
      <c r="E39" s="8" t="s">
        <v>17</v>
      </c>
      <c r="F39" s="8">
        <f t="shared" si="1"/>
        <v>0</v>
      </c>
      <c r="G39" s="10">
        <f t="shared" si="2"/>
        <v>0</v>
      </c>
      <c r="H39" s="15"/>
    </row>
    <row r="40" ht="22.5" customHeight="1">
      <c r="A40" s="7">
        <v>37.0</v>
      </c>
      <c r="B40" s="13" t="s">
        <v>84</v>
      </c>
      <c r="C40" s="13" t="s">
        <v>85</v>
      </c>
      <c r="D40" s="14" t="s">
        <v>9</v>
      </c>
      <c r="E40" s="8" t="s">
        <v>17</v>
      </c>
      <c r="F40" s="8">
        <f t="shared" si="1"/>
        <v>0</v>
      </c>
      <c r="G40" s="10">
        <f t="shared" si="2"/>
        <v>0</v>
      </c>
      <c r="H40" s="15"/>
    </row>
    <row r="41" ht="22.5" customHeight="1">
      <c r="A41" s="7">
        <v>38.0</v>
      </c>
      <c r="B41" s="13" t="s">
        <v>86</v>
      </c>
      <c r="C41" s="13" t="s">
        <v>87</v>
      </c>
      <c r="D41" s="14" t="s">
        <v>9</v>
      </c>
      <c r="E41" s="8" t="s">
        <v>17</v>
      </c>
      <c r="F41" s="8">
        <f t="shared" si="1"/>
        <v>0</v>
      </c>
      <c r="G41" s="10">
        <f t="shared" si="2"/>
        <v>0</v>
      </c>
      <c r="H41" s="15"/>
    </row>
    <row r="42" ht="22.5" customHeight="1">
      <c r="A42" s="7">
        <v>39.0</v>
      </c>
      <c r="B42" s="13" t="s">
        <v>88</v>
      </c>
      <c r="C42" s="13" t="s">
        <v>89</v>
      </c>
      <c r="D42" s="14" t="s">
        <v>9</v>
      </c>
      <c r="E42" s="8" t="s">
        <v>17</v>
      </c>
      <c r="F42" s="8">
        <f t="shared" si="1"/>
        <v>0</v>
      </c>
      <c r="G42" s="10">
        <f t="shared" si="2"/>
        <v>0</v>
      </c>
      <c r="H42" s="15"/>
    </row>
    <row r="43" ht="22.5" customHeight="1">
      <c r="A43" s="12">
        <v>40.0</v>
      </c>
      <c r="B43" s="13" t="s">
        <v>57</v>
      </c>
      <c r="C43" s="13" t="s">
        <v>90</v>
      </c>
      <c r="D43" s="14" t="s">
        <v>9</v>
      </c>
      <c r="E43" s="8" t="s">
        <v>17</v>
      </c>
      <c r="F43" s="8">
        <f t="shared" si="1"/>
        <v>0</v>
      </c>
      <c r="G43" s="10">
        <f t="shared" si="2"/>
        <v>0</v>
      </c>
      <c r="H43" s="15"/>
    </row>
    <row r="44" ht="22.5" customHeight="1">
      <c r="A44" s="12">
        <v>41.0</v>
      </c>
      <c r="B44" s="13" t="s">
        <v>91</v>
      </c>
      <c r="C44" s="13" t="s">
        <v>92</v>
      </c>
      <c r="D44" s="14" t="s">
        <v>93</v>
      </c>
      <c r="E44" s="8" t="s">
        <v>54</v>
      </c>
      <c r="F44" s="8">
        <f t="shared" si="1"/>
        <v>0</v>
      </c>
      <c r="G44" s="10">
        <f t="shared" si="2"/>
        <v>0</v>
      </c>
      <c r="H44" s="15"/>
    </row>
    <row r="45" ht="22.5" customHeight="1">
      <c r="A45" s="12">
        <v>42.0</v>
      </c>
      <c r="B45" s="13" t="s">
        <v>94</v>
      </c>
      <c r="C45" s="13" t="s">
        <v>95</v>
      </c>
      <c r="D45" s="14" t="s">
        <v>93</v>
      </c>
      <c r="E45" s="8" t="s">
        <v>96</v>
      </c>
      <c r="F45" s="8">
        <f t="shared" si="1"/>
        <v>0</v>
      </c>
      <c r="G45" s="10">
        <f t="shared" si="2"/>
        <v>0</v>
      </c>
      <c r="H45" s="15"/>
    </row>
    <row r="46" ht="22.5" customHeight="1">
      <c r="A46" s="7">
        <v>43.0</v>
      </c>
      <c r="B46" s="13" t="s">
        <v>97</v>
      </c>
      <c r="C46" s="13" t="s">
        <v>98</v>
      </c>
      <c r="D46" s="14" t="s">
        <v>93</v>
      </c>
      <c r="E46" s="8" t="s">
        <v>96</v>
      </c>
      <c r="F46" s="8">
        <f t="shared" si="1"/>
        <v>0</v>
      </c>
      <c r="G46" s="10">
        <f t="shared" si="2"/>
        <v>0</v>
      </c>
      <c r="H46" s="15"/>
    </row>
    <row r="47" ht="22.5" customHeight="1">
      <c r="A47" s="7">
        <v>44.0</v>
      </c>
      <c r="B47" s="13" t="s">
        <v>99</v>
      </c>
      <c r="C47" s="13" t="s">
        <v>100</v>
      </c>
      <c r="D47" s="14" t="s">
        <v>93</v>
      </c>
      <c r="E47" s="8" t="s">
        <v>54</v>
      </c>
      <c r="F47" s="8">
        <f t="shared" si="1"/>
        <v>0</v>
      </c>
      <c r="G47" s="10">
        <f t="shared" si="2"/>
        <v>0</v>
      </c>
      <c r="H47" s="15"/>
    </row>
    <row r="48" ht="22.5" customHeight="1">
      <c r="A48" s="7">
        <v>45.0</v>
      </c>
      <c r="B48" s="13" t="s">
        <v>101</v>
      </c>
      <c r="C48" s="13" t="s">
        <v>102</v>
      </c>
      <c r="D48" s="14" t="s">
        <v>93</v>
      </c>
      <c r="E48" s="8" t="s">
        <v>54</v>
      </c>
      <c r="F48" s="8">
        <f t="shared" si="1"/>
        <v>0</v>
      </c>
      <c r="G48" s="10">
        <f t="shared" si="2"/>
        <v>0</v>
      </c>
      <c r="H48" s="15"/>
    </row>
    <row r="49" ht="22.5" customHeight="1">
      <c r="A49" s="12">
        <v>46.0</v>
      </c>
      <c r="B49" s="13" t="s">
        <v>103</v>
      </c>
      <c r="C49" s="13" t="s">
        <v>104</v>
      </c>
      <c r="D49" s="14" t="s">
        <v>105</v>
      </c>
      <c r="E49" s="8" t="s">
        <v>10</v>
      </c>
      <c r="F49" s="8">
        <f t="shared" si="1"/>
        <v>0</v>
      </c>
      <c r="G49" s="10">
        <f t="shared" si="2"/>
        <v>0</v>
      </c>
      <c r="H49" s="15"/>
    </row>
    <row r="50" ht="22.5" customHeight="1">
      <c r="A50" s="12">
        <v>47.0</v>
      </c>
      <c r="B50" s="13" t="s">
        <v>106</v>
      </c>
      <c r="C50" s="13" t="s">
        <v>107</v>
      </c>
      <c r="D50" s="14" t="s">
        <v>105</v>
      </c>
      <c r="E50" s="8" t="s">
        <v>10</v>
      </c>
      <c r="F50" s="8">
        <f t="shared" si="1"/>
        <v>0</v>
      </c>
      <c r="G50" s="10">
        <f t="shared" si="2"/>
        <v>0</v>
      </c>
      <c r="H50" s="15"/>
    </row>
    <row r="51" ht="22.5" customHeight="1">
      <c r="A51" s="12">
        <v>48.0</v>
      </c>
      <c r="B51" s="13" t="s">
        <v>108</v>
      </c>
      <c r="C51" s="13" t="s">
        <v>109</v>
      </c>
      <c r="D51" s="14" t="s">
        <v>105</v>
      </c>
      <c r="E51" s="8" t="s">
        <v>17</v>
      </c>
      <c r="F51" s="8">
        <f t="shared" si="1"/>
        <v>0</v>
      </c>
      <c r="G51" s="10">
        <f t="shared" si="2"/>
        <v>0</v>
      </c>
      <c r="H51" s="15"/>
    </row>
    <row r="52" ht="22.5" customHeight="1">
      <c r="A52" s="7">
        <v>49.0</v>
      </c>
      <c r="B52" s="13" t="s">
        <v>110</v>
      </c>
      <c r="C52" s="13" t="s">
        <v>111</v>
      </c>
      <c r="D52" s="14" t="s">
        <v>105</v>
      </c>
      <c r="E52" s="8" t="s">
        <v>54</v>
      </c>
      <c r="F52" s="8">
        <f t="shared" si="1"/>
        <v>0</v>
      </c>
      <c r="G52" s="10">
        <f t="shared" si="2"/>
        <v>0</v>
      </c>
      <c r="H52" s="15"/>
      <c r="J52" s="23" t="s">
        <v>112</v>
      </c>
    </row>
    <row r="53" ht="22.5" customHeight="1">
      <c r="A53" s="7">
        <v>50.0</v>
      </c>
      <c r="B53" s="13" t="s">
        <v>113</v>
      </c>
      <c r="C53" s="13" t="s">
        <v>114</v>
      </c>
      <c r="D53" s="14" t="s">
        <v>105</v>
      </c>
      <c r="E53" s="8" t="s">
        <v>54</v>
      </c>
      <c r="F53" s="8">
        <f t="shared" si="1"/>
        <v>0</v>
      </c>
      <c r="G53" s="10">
        <f t="shared" si="2"/>
        <v>0</v>
      </c>
      <c r="H53" s="15"/>
    </row>
    <row r="54" ht="22.5" customHeight="1">
      <c r="A54" s="7">
        <v>51.0</v>
      </c>
      <c r="B54" s="13" t="s">
        <v>115</v>
      </c>
      <c r="C54" s="13" t="s">
        <v>116</v>
      </c>
      <c r="D54" s="14" t="s">
        <v>117</v>
      </c>
      <c r="E54" s="8" t="s">
        <v>118</v>
      </c>
      <c r="F54" s="8">
        <f t="shared" si="1"/>
        <v>0</v>
      </c>
      <c r="G54" s="10">
        <f t="shared" si="2"/>
        <v>0</v>
      </c>
      <c r="H54" s="15"/>
    </row>
    <row r="55" ht="22.5" customHeight="1">
      <c r="A55" s="12">
        <v>52.0</v>
      </c>
      <c r="B55" s="13" t="s">
        <v>119</v>
      </c>
      <c r="C55" s="13" t="s">
        <v>120</v>
      </c>
      <c r="D55" s="14" t="s">
        <v>117</v>
      </c>
      <c r="E55" s="8" t="s">
        <v>118</v>
      </c>
      <c r="F55" s="8">
        <f t="shared" si="1"/>
        <v>0</v>
      </c>
      <c r="G55" s="10">
        <f t="shared" si="2"/>
        <v>0</v>
      </c>
      <c r="H55" s="15"/>
    </row>
    <row r="56" ht="22.5" customHeight="1">
      <c r="A56" s="12">
        <v>53.0</v>
      </c>
      <c r="B56" s="13" t="s">
        <v>121</v>
      </c>
      <c r="C56" s="13" t="s">
        <v>122</v>
      </c>
      <c r="D56" s="14" t="s">
        <v>117</v>
      </c>
      <c r="E56" s="8" t="s">
        <v>123</v>
      </c>
      <c r="F56" s="8">
        <f t="shared" si="1"/>
        <v>0</v>
      </c>
      <c r="G56" s="10">
        <f t="shared" si="2"/>
        <v>0</v>
      </c>
      <c r="H56" s="15"/>
    </row>
    <row r="57" ht="22.5" customHeight="1">
      <c r="A57" s="12">
        <v>54.0</v>
      </c>
      <c r="B57" s="22" t="s">
        <v>124</v>
      </c>
      <c r="C57" s="13" t="s">
        <v>125</v>
      </c>
      <c r="D57" s="14" t="s">
        <v>126</v>
      </c>
      <c r="E57" s="8" t="s">
        <v>127</v>
      </c>
      <c r="F57" s="8">
        <f t="shared" si="1"/>
        <v>0</v>
      </c>
      <c r="G57" s="10">
        <f t="shared" si="2"/>
        <v>0</v>
      </c>
      <c r="H57" s="15"/>
    </row>
    <row r="58" ht="22.5" customHeight="1">
      <c r="A58" s="7">
        <v>55.0</v>
      </c>
      <c r="B58" s="13" t="s">
        <v>128</v>
      </c>
      <c r="C58" s="13" t="s">
        <v>129</v>
      </c>
      <c r="D58" s="14" t="s">
        <v>126</v>
      </c>
      <c r="E58" s="8" t="s">
        <v>10</v>
      </c>
      <c r="F58" s="8">
        <f t="shared" si="1"/>
        <v>0</v>
      </c>
      <c r="G58" s="10">
        <f t="shared" si="2"/>
        <v>0</v>
      </c>
      <c r="H58" s="15"/>
    </row>
    <row r="59" ht="22.5" customHeight="1">
      <c r="A59" s="7">
        <v>56.0</v>
      </c>
      <c r="B59" s="13" t="s">
        <v>130</v>
      </c>
      <c r="C59" s="13" t="s">
        <v>131</v>
      </c>
      <c r="D59" s="14" t="s">
        <v>126</v>
      </c>
      <c r="E59" s="8" t="s">
        <v>10</v>
      </c>
      <c r="F59" s="8">
        <f t="shared" si="1"/>
        <v>0</v>
      </c>
      <c r="G59" s="10">
        <f t="shared" si="2"/>
        <v>0</v>
      </c>
      <c r="H59" s="15"/>
    </row>
    <row r="60" ht="22.5" customHeight="1">
      <c r="A60" s="7">
        <v>57.0</v>
      </c>
      <c r="B60" s="17" t="s">
        <v>132</v>
      </c>
      <c r="C60" s="13" t="s">
        <v>133</v>
      </c>
      <c r="D60" s="14" t="s">
        <v>126</v>
      </c>
      <c r="E60" s="8" t="s">
        <v>17</v>
      </c>
      <c r="F60" s="8">
        <f t="shared" si="1"/>
        <v>0</v>
      </c>
      <c r="G60" s="10">
        <f t="shared" si="2"/>
        <v>0</v>
      </c>
      <c r="H60" s="15"/>
    </row>
    <row r="61" ht="22.5" customHeight="1">
      <c r="A61" s="12">
        <v>58.0</v>
      </c>
      <c r="B61" s="13" t="s">
        <v>134</v>
      </c>
      <c r="C61" s="13" t="s">
        <v>135</v>
      </c>
      <c r="D61" s="14" t="s">
        <v>126</v>
      </c>
      <c r="E61" s="8" t="s">
        <v>17</v>
      </c>
      <c r="F61" s="8">
        <f t="shared" si="1"/>
        <v>0</v>
      </c>
      <c r="G61" s="10">
        <f t="shared" si="2"/>
        <v>0</v>
      </c>
      <c r="H61" s="15"/>
    </row>
    <row r="62" ht="22.5" customHeight="1">
      <c r="A62" s="12">
        <v>59.0</v>
      </c>
      <c r="B62" s="13" t="s">
        <v>136</v>
      </c>
      <c r="C62" s="13" t="s">
        <v>137</v>
      </c>
      <c r="D62" s="14" t="s">
        <v>126</v>
      </c>
      <c r="E62" s="8" t="s">
        <v>17</v>
      </c>
      <c r="F62" s="8">
        <f t="shared" si="1"/>
        <v>0</v>
      </c>
      <c r="G62" s="10">
        <f t="shared" si="2"/>
        <v>0</v>
      </c>
      <c r="H62" s="15"/>
    </row>
    <row r="63" ht="22.5" customHeight="1">
      <c r="A63" s="12">
        <v>60.0</v>
      </c>
      <c r="B63" s="13" t="s">
        <v>138</v>
      </c>
      <c r="C63" s="13" t="s">
        <v>139</v>
      </c>
      <c r="D63" s="14" t="s">
        <v>126</v>
      </c>
      <c r="E63" s="8" t="s">
        <v>140</v>
      </c>
      <c r="F63" s="8">
        <f t="shared" si="1"/>
        <v>0</v>
      </c>
      <c r="G63" s="10">
        <f t="shared" si="2"/>
        <v>0</v>
      </c>
      <c r="H63" s="15"/>
    </row>
    <row r="64" ht="22.5" customHeight="1">
      <c r="A64" s="7">
        <v>61.0</v>
      </c>
      <c r="B64" s="13" t="s">
        <v>141</v>
      </c>
      <c r="C64" s="13" t="s">
        <v>142</v>
      </c>
      <c r="D64" s="14" t="s">
        <v>126</v>
      </c>
      <c r="E64" s="8" t="s">
        <v>54</v>
      </c>
      <c r="F64" s="8">
        <f t="shared" si="1"/>
        <v>0</v>
      </c>
      <c r="G64" s="10">
        <f t="shared" si="2"/>
        <v>0</v>
      </c>
      <c r="H64" s="15"/>
    </row>
    <row r="65" ht="22.5" customHeight="1">
      <c r="A65" s="7">
        <v>62.0</v>
      </c>
      <c r="B65" s="13" t="s">
        <v>143</v>
      </c>
      <c r="C65" s="13" t="s">
        <v>144</v>
      </c>
      <c r="D65" s="14" t="s">
        <v>126</v>
      </c>
      <c r="E65" s="8" t="s">
        <v>17</v>
      </c>
      <c r="F65" s="8">
        <f t="shared" si="1"/>
        <v>0</v>
      </c>
      <c r="G65" s="10">
        <f t="shared" si="2"/>
        <v>0</v>
      </c>
      <c r="H65" s="15"/>
    </row>
    <row r="66" ht="22.5" customHeight="1">
      <c r="A66" s="7">
        <v>63.0</v>
      </c>
      <c r="B66" s="13" t="s">
        <v>145</v>
      </c>
      <c r="C66" s="13" t="s">
        <v>146</v>
      </c>
      <c r="D66" s="14" t="s">
        <v>126</v>
      </c>
      <c r="E66" s="8" t="s">
        <v>17</v>
      </c>
      <c r="F66" s="8">
        <f t="shared" si="1"/>
        <v>0</v>
      </c>
      <c r="G66" s="10">
        <f t="shared" si="2"/>
        <v>0</v>
      </c>
      <c r="H66" s="15"/>
    </row>
    <row r="67" ht="22.5" customHeight="1">
      <c r="A67" s="12">
        <v>64.0</v>
      </c>
      <c r="B67" s="13" t="s">
        <v>147</v>
      </c>
      <c r="C67" s="13" t="s">
        <v>148</v>
      </c>
      <c r="D67" s="14" t="s">
        <v>126</v>
      </c>
      <c r="E67" s="8" t="s">
        <v>17</v>
      </c>
      <c r="F67" s="8">
        <f t="shared" si="1"/>
        <v>0</v>
      </c>
      <c r="G67" s="10">
        <f t="shared" si="2"/>
        <v>0</v>
      </c>
      <c r="H67" s="15"/>
    </row>
    <row r="68" ht="21.0" customHeight="1">
      <c r="A68" s="12">
        <v>65.0</v>
      </c>
      <c r="B68" s="13" t="s">
        <v>149</v>
      </c>
      <c r="C68" s="13" t="s">
        <v>150</v>
      </c>
      <c r="D68" s="14" t="s">
        <v>126</v>
      </c>
      <c r="E68" s="8" t="s">
        <v>17</v>
      </c>
      <c r="F68" s="8">
        <f t="shared" si="1"/>
        <v>0</v>
      </c>
      <c r="G68" s="10">
        <f t="shared" si="2"/>
        <v>0</v>
      </c>
      <c r="H68" s="15"/>
    </row>
    <row r="69" ht="21.0" customHeight="1">
      <c r="A69" s="12">
        <v>66.0</v>
      </c>
      <c r="B69" s="13" t="s">
        <v>151</v>
      </c>
      <c r="C69" s="13" t="s">
        <v>152</v>
      </c>
      <c r="D69" s="14" t="s">
        <v>126</v>
      </c>
      <c r="E69" s="8" t="s">
        <v>17</v>
      </c>
      <c r="F69" s="8">
        <f t="shared" si="1"/>
        <v>0</v>
      </c>
      <c r="G69" s="10">
        <f t="shared" si="2"/>
        <v>0</v>
      </c>
      <c r="H69" s="15"/>
    </row>
    <row r="70" ht="21.0" customHeight="1">
      <c r="A70" s="7">
        <v>67.0</v>
      </c>
      <c r="B70" s="13" t="s">
        <v>153</v>
      </c>
      <c r="C70" s="13" t="s">
        <v>154</v>
      </c>
      <c r="D70" s="14" t="s">
        <v>126</v>
      </c>
      <c r="E70" s="8" t="s">
        <v>17</v>
      </c>
      <c r="F70" s="8">
        <f t="shared" si="1"/>
        <v>0</v>
      </c>
      <c r="G70" s="10">
        <f t="shared" si="2"/>
        <v>0</v>
      </c>
      <c r="H70" s="15"/>
    </row>
    <row r="71" ht="21.0" customHeight="1">
      <c r="A71" s="7">
        <v>68.0</v>
      </c>
      <c r="B71" s="13" t="s">
        <v>155</v>
      </c>
      <c r="C71" s="13" t="s">
        <v>156</v>
      </c>
      <c r="D71" s="14" t="s">
        <v>126</v>
      </c>
      <c r="E71" s="8" t="s">
        <v>17</v>
      </c>
      <c r="F71" s="8">
        <f t="shared" si="1"/>
        <v>0</v>
      </c>
      <c r="G71" s="10">
        <f t="shared" si="2"/>
        <v>0</v>
      </c>
      <c r="H71" s="15"/>
    </row>
    <row r="72" ht="21.0" customHeight="1">
      <c r="A72" s="7">
        <v>69.0</v>
      </c>
      <c r="B72" s="13" t="s">
        <v>157</v>
      </c>
      <c r="C72" s="13" t="s">
        <v>158</v>
      </c>
      <c r="D72" s="14" t="s">
        <v>126</v>
      </c>
      <c r="E72" s="8" t="s">
        <v>17</v>
      </c>
      <c r="F72" s="8">
        <f t="shared" si="1"/>
        <v>0</v>
      </c>
      <c r="G72" s="10">
        <f t="shared" si="2"/>
        <v>0</v>
      </c>
      <c r="H72" s="15"/>
    </row>
    <row r="73" ht="21.0" customHeight="1">
      <c r="A73" s="12">
        <v>70.0</v>
      </c>
      <c r="B73" s="13" t="s">
        <v>159</v>
      </c>
      <c r="C73" s="13" t="s">
        <v>160</v>
      </c>
      <c r="D73" s="14" t="s">
        <v>126</v>
      </c>
      <c r="E73" s="8" t="s">
        <v>17</v>
      </c>
      <c r="F73" s="8">
        <f t="shared" si="1"/>
        <v>0</v>
      </c>
      <c r="G73" s="10">
        <f t="shared" si="2"/>
        <v>0</v>
      </c>
      <c r="H73" s="15"/>
    </row>
    <row r="74" ht="21.0" customHeight="1">
      <c r="A74" s="12">
        <v>71.0</v>
      </c>
      <c r="B74" s="13" t="s">
        <v>161</v>
      </c>
      <c r="C74" s="13" t="s">
        <v>162</v>
      </c>
      <c r="D74" s="14" t="s">
        <v>126</v>
      </c>
      <c r="E74" s="8" t="s">
        <v>17</v>
      </c>
      <c r="F74" s="8">
        <f t="shared" si="1"/>
        <v>0</v>
      </c>
      <c r="G74" s="10">
        <f t="shared" si="2"/>
        <v>0</v>
      </c>
      <c r="H74" s="15"/>
    </row>
    <row r="75" ht="21.0" customHeight="1">
      <c r="A75" s="12">
        <v>72.0</v>
      </c>
      <c r="B75" s="13" t="s">
        <v>163</v>
      </c>
      <c r="C75" s="13" t="s">
        <v>164</v>
      </c>
      <c r="D75" s="14" t="s">
        <v>126</v>
      </c>
      <c r="E75" s="8" t="s">
        <v>17</v>
      </c>
      <c r="F75" s="8">
        <f t="shared" si="1"/>
        <v>0</v>
      </c>
      <c r="G75" s="10">
        <f t="shared" si="2"/>
        <v>0</v>
      </c>
      <c r="H75" s="15"/>
    </row>
    <row r="76" ht="21.0" customHeight="1">
      <c r="A76" s="7">
        <v>73.0</v>
      </c>
      <c r="B76" s="13" t="s">
        <v>165</v>
      </c>
      <c r="C76" s="13" t="s">
        <v>166</v>
      </c>
      <c r="D76" s="14" t="s">
        <v>126</v>
      </c>
      <c r="E76" s="8" t="s">
        <v>17</v>
      </c>
      <c r="F76" s="8">
        <f t="shared" si="1"/>
        <v>0</v>
      </c>
      <c r="G76" s="10">
        <f t="shared" si="2"/>
        <v>0</v>
      </c>
      <c r="H76" s="15"/>
    </row>
    <row r="77" ht="21.0" customHeight="1">
      <c r="A77" s="7">
        <v>74.0</v>
      </c>
      <c r="B77" s="13" t="s">
        <v>167</v>
      </c>
      <c r="C77" s="13" t="s">
        <v>168</v>
      </c>
      <c r="D77" s="14" t="s">
        <v>126</v>
      </c>
      <c r="E77" s="8" t="s">
        <v>17</v>
      </c>
      <c r="F77" s="8">
        <f t="shared" si="1"/>
        <v>0</v>
      </c>
      <c r="G77" s="10">
        <f t="shared" si="2"/>
        <v>0</v>
      </c>
      <c r="H77" s="15"/>
    </row>
    <row r="78" ht="21.0" customHeight="1">
      <c r="A78" s="7">
        <v>75.0</v>
      </c>
      <c r="B78" s="13" t="s">
        <v>169</v>
      </c>
      <c r="C78" s="13" t="s">
        <v>170</v>
      </c>
      <c r="D78" s="14" t="s">
        <v>126</v>
      </c>
      <c r="E78" s="8" t="s">
        <v>17</v>
      </c>
      <c r="F78" s="8">
        <f t="shared" si="1"/>
        <v>0</v>
      </c>
      <c r="G78" s="10">
        <f t="shared" si="2"/>
        <v>0</v>
      </c>
      <c r="H78" s="15"/>
    </row>
    <row r="79" ht="21.0" customHeight="1">
      <c r="A79" s="12">
        <v>76.0</v>
      </c>
      <c r="B79" s="13" t="s">
        <v>171</v>
      </c>
      <c r="C79" s="13" t="s">
        <v>172</v>
      </c>
      <c r="D79" s="14" t="s">
        <v>126</v>
      </c>
      <c r="E79" s="8" t="s">
        <v>17</v>
      </c>
      <c r="F79" s="8">
        <f t="shared" si="1"/>
        <v>0</v>
      </c>
      <c r="G79" s="10">
        <f t="shared" si="2"/>
        <v>0</v>
      </c>
      <c r="H79" s="15"/>
    </row>
    <row r="80" ht="21.0" customHeight="1">
      <c r="A80" s="12">
        <v>77.0</v>
      </c>
      <c r="B80" s="13" t="s">
        <v>173</v>
      </c>
      <c r="C80" s="13" t="s">
        <v>174</v>
      </c>
      <c r="D80" s="14" t="s">
        <v>126</v>
      </c>
      <c r="E80" s="8" t="s">
        <v>17</v>
      </c>
      <c r="F80" s="8">
        <f t="shared" si="1"/>
        <v>0</v>
      </c>
      <c r="G80" s="10">
        <f t="shared" si="2"/>
        <v>0</v>
      </c>
      <c r="H80" s="15"/>
    </row>
    <row r="81" ht="21.0" customHeight="1">
      <c r="A81" s="12">
        <v>78.0</v>
      </c>
      <c r="B81" s="13" t="s">
        <v>175</v>
      </c>
      <c r="C81" s="13" t="s">
        <v>176</v>
      </c>
      <c r="D81" s="14" t="s">
        <v>126</v>
      </c>
      <c r="E81" s="8" t="s">
        <v>17</v>
      </c>
      <c r="F81" s="8">
        <f t="shared" si="1"/>
        <v>0</v>
      </c>
      <c r="G81" s="10">
        <f t="shared" si="2"/>
        <v>0</v>
      </c>
      <c r="H81" s="15"/>
    </row>
    <row r="82" ht="21.0" customHeight="1">
      <c r="A82" s="7">
        <v>79.0</v>
      </c>
      <c r="B82" s="13" t="s">
        <v>177</v>
      </c>
      <c r="C82" s="13" t="s">
        <v>178</v>
      </c>
      <c r="D82" s="14" t="s">
        <v>126</v>
      </c>
      <c r="E82" s="8" t="s">
        <v>17</v>
      </c>
      <c r="F82" s="8">
        <f t="shared" si="1"/>
        <v>0</v>
      </c>
      <c r="G82" s="10">
        <f t="shared" si="2"/>
        <v>0</v>
      </c>
      <c r="H82" s="15"/>
    </row>
    <row r="83" ht="21.0" customHeight="1">
      <c r="A83" s="7">
        <v>80.0</v>
      </c>
      <c r="B83" s="13" t="s">
        <v>179</v>
      </c>
      <c r="C83" s="13" t="s">
        <v>180</v>
      </c>
      <c r="D83" s="14" t="s">
        <v>126</v>
      </c>
      <c r="E83" s="8" t="s">
        <v>17</v>
      </c>
      <c r="F83" s="8">
        <f t="shared" si="1"/>
        <v>0</v>
      </c>
      <c r="G83" s="10">
        <f t="shared" si="2"/>
        <v>0</v>
      </c>
      <c r="H83" s="15"/>
    </row>
    <row r="84" ht="21.0" customHeight="1">
      <c r="A84" s="7">
        <v>81.0</v>
      </c>
      <c r="B84" s="13" t="s">
        <v>181</v>
      </c>
      <c r="C84" s="13" t="s">
        <v>182</v>
      </c>
      <c r="D84" s="14" t="s">
        <v>126</v>
      </c>
      <c r="E84" s="8" t="s">
        <v>17</v>
      </c>
      <c r="F84" s="8">
        <f t="shared" si="1"/>
        <v>0</v>
      </c>
      <c r="G84" s="10">
        <f t="shared" si="2"/>
        <v>0</v>
      </c>
      <c r="H84" s="15"/>
    </row>
    <row r="85" ht="21.0" customHeight="1">
      <c r="A85" s="12">
        <v>82.0</v>
      </c>
      <c r="B85" s="13" t="s">
        <v>183</v>
      </c>
      <c r="C85" s="13" t="s">
        <v>184</v>
      </c>
      <c r="D85" s="14" t="s">
        <v>126</v>
      </c>
      <c r="E85" s="8" t="s">
        <v>17</v>
      </c>
      <c r="F85" s="8">
        <f t="shared" si="1"/>
        <v>0</v>
      </c>
      <c r="G85" s="10">
        <f t="shared" si="2"/>
        <v>0</v>
      </c>
      <c r="H85" s="15"/>
    </row>
    <row r="86" ht="21.0" customHeight="1">
      <c r="A86" s="12">
        <v>83.0</v>
      </c>
      <c r="B86" s="13" t="s">
        <v>185</v>
      </c>
      <c r="C86" s="13" t="s">
        <v>186</v>
      </c>
      <c r="D86" s="14" t="s">
        <v>126</v>
      </c>
      <c r="E86" s="8" t="s">
        <v>17</v>
      </c>
      <c r="F86" s="8">
        <f t="shared" si="1"/>
        <v>0</v>
      </c>
      <c r="G86" s="10">
        <f t="shared" si="2"/>
        <v>0</v>
      </c>
      <c r="H86" s="15"/>
    </row>
    <row r="87" ht="21.0" customHeight="1">
      <c r="A87" s="12">
        <v>84.0</v>
      </c>
      <c r="B87" s="13" t="s">
        <v>187</v>
      </c>
      <c r="C87" s="13" t="s">
        <v>188</v>
      </c>
      <c r="D87" s="14" t="s">
        <v>126</v>
      </c>
      <c r="E87" s="8" t="s">
        <v>17</v>
      </c>
      <c r="F87" s="8">
        <f t="shared" si="1"/>
        <v>0</v>
      </c>
      <c r="G87" s="10">
        <f t="shared" si="2"/>
        <v>0</v>
      </c>
      <c r="H87" s="15"/>
    </row>
    <row r="88" ht="21.0" customHeight="1">
      <c r="A88" s="7">
        <v>85.0</v>
      </c>
      <c r="B88" s="13" t="s">
        <v>189</v>
      </c>
      <c r="C88" s="13" t="s">
        <v>190</v>
      </c>
      <c r="D88" s="14" t="s">
        <v>126</v>
      </c>
      <c r="E88" s="8" t="s">
        <v>140</v>
      </c>
      <c r="F88" s="8">
        <f t="shared" si="1"/>
        <v>0</v>
      </c>
      <c r="G88" s="10">
        <f t="shared" si="2"/>
        <v>0</v>
      </c>
      <c r="H88" s="15"/>
    </row>
    <row r="89" ht="21.0" customHeight="1">
      <c r="A89" s="7">
        <v>86.0</v>
      </c>
      <c r="B89" s="13" t="s">
        <v>191</v>
      </c>
      <c r="C89" s="13" t="s">
        <v>192</v>
      </c>
      <c r="D89" s="14" t="s">
        <v>126</v>
      </c>
      <c r="E89" s="8" t="s">
        <v>54</v>
      </c>
      <c r="F89" s="8">
        <f t="shared" si="1"/>
        <v>0</v>
      </c>
      <c r="G89" s="10">
        <f t="shared" si="2"/>
        <v>0</v>
      </c>
      <c r="H89" s="15"/>
    </row>
    <row r="90" ht="21.0" customHeight="1">
      <c r="A90" s="7">
        <v>87.0</v>
      </c>
      <c r="B90" s="13" t="s">
        <v>193</v>
      </c>
      <c r="C90" s="13" t="s">
        <v>194</v>
      </c>
      <c r="D90" s="14" t="s">
        <v>126</v>
      </c>
      <c r="E90" s="8" t="s">
        <v>54</v>
      </c>
      <c r="F90" s="8">
        <f t="shared" si="1"/>
        <v>0</v>
      </c>
      <c r="G90" s="10">
        <f t="shared" si="2"/>
        <v>0</v>
      </c>
      <c r="H90" s="15"/>
    </row>
    <row r="91" ht="21.0" customHeight="1">
      <c r="A91" s="12">
        <v>88.0</v>
      </c>
      <c r="B91" s="13" t="s">
        <v>195</v>
      </c>
      <c r="C91" s="13" t="s">
        <v>196</v>
      </c>
      <c r="D91" s="14" t="s">
        <v>126</v>
      </c>
      <c r="E91" s="8" t="s">
        <v>54</v>
      </c>
      <c r="F91" s="8">
        <f t="shared" si="1"/>
        <v>0</v>
      </c>
      <c r="G91" s="10">
        <f t="shared" si="2"/>
        <v>0</v>
      </c>
      <c r="H91" s="15"/>
    </row>
    <row r="92" ht="21.0" customHeight="1">
      <c r="A92" s="12">
        <v>89.0</v>
      </c>
      <c r="B92" s="13" t="s">
        <v>197</v>
      </c>
      <c r="C92" s="13" t="s">
        <v>198</v>
      </c>
      <c r="D92" s="14" t="s">
        <v>126</v>
      </c>
      <c r="E92" s="8" t="s">
        <v>54</v>
      </c>
      <c r="F92" s="8">
        <f t="shared" si="1"/>
        <v>0</v>
      </c>
      <c r="G92" s="10">
        <f t="shared" si="2"/>
        <v>0</v>
      </c>
      <c r="H92" s="15"/>
    </row>
    <row r="93" ht="21.0" customHeight="1">
      <c r="A93" s="12">
        <v>90.0</v>
      </c>
      <c r="B93" s="13" t="s">
        <v>199</v>
      </c>
      <c r="C93" s="13" t="s">
        <v>200</v>
      </c>
      <c r="D93" s="14" t="s">
        <v>126</v>
      </c>
      <c r="E93" s="8" t="s">
        <v>54</v>
      </c>
      <c r="F93" s="8">
        <f t="shared" si="1"/>
        <v>0</v>
      </c>
      <c r="G93" s="10">
        <f t="shared" si="2"/>
        <v>0</v>
      </c>
      <c r="H93" s="15"/>
    </row>
    <row r="94" ht="21.0" customHeight="1">
      <c r="A94" s="7">
        <v>91.0</v>
      </c>
      <c r="B94" s="13" t="s">
        <v>201</v>
      </c>
      <c r="C94" s="13" t="s">
        <v>202</v>
      </c>
      <c r="D94" s="14" t="s">
        <v>126</v>
      </c>
      <c r="E94" s="8" t="s">
        <v>54</v>
      </c>
      <c r="F94" s="8">
        <f t="shared" si="1"/>
        <v>0</v>
      </c>
      <c r="G94" s="10">
        <f t="shared" si="2"/>
        <v>0</v>
      </c>
      <c r="H94" s="15"/>
    </row>
    <row r="95" ht="21.0" customHeight="1">
      <c r="A95" s="7">
        <v>92.0</v>
      </c>
      <c r="B95" s="13" t="s">
        <v>203</v>
      </c>
      <c r="C95" s="13" t="s">
        <v>204</v>
      </c>
      <c r="D95" s="14" t="s">
        <v>126</v>
      </c>
      <c r="E95" s="8" t="s">
        <v>54</v>
      </c>
      <c r="F95" s="8">
        <f t="shared" si="1"/>
        <v>0</v>
      </c>
      <c r="G95" s="10">
        <f t="shared" si="2"/>
        <v>0</v>
      </c>
      <c r="H95" s="15"/>
    </row>
    <row r="96" ht="21.0" customHeight="1">
      <c r="A96" s="7">
        <v>93.0</v>
      </c>
      <c r="B96" s="13" t="s">
        <v>205</v>
      </c>
      <c r="C96" s="13" t="s">
        <v>206</v>
      </c>
      <c r="D96" s="14" t="s">
        <v>126</v>
      </c>
      <c r="E96" s="8" t="s">
        <v>54</v>
      </c>
      <c r="F96" s="8">
        <f t="shared" si="1"/>
        <v>0</v>
      </c>
      <c r="G96" s="10">
        <f t="shared" si="2"/>
        <v>0</v>
      </c>
      <c r="H96" s="15"/>
    </row>
    <row r="97" ht="21.0" customHeight="1">
      <c r="A97" s="12">
        <v>94.0</v>
      </c>
      <c r="B97" s="13" t="s">
        <v>207</v>
      </c>
      <c r="C97" s="13" t="s">
        <v>208</v>
      </c>
      <c r="D97" s="14" t="s">
        <v>126</v>
      </c>
      <c r="E97" s="8" t="s">
        <v>54</v>
      </c>
      <c r="F97" s="8">
        <f t="shared" si="1"/>
        <v>0</v>
      </c>
      <c r="G97" s="10">
        <f t="shared" si="2"/>
        <v>0</v>
      </c>
      <c r="H97" s="15"/>
    </row>
    <row r="98" ht="21.0" customHeight="1">
      <c r="A98" s="12">
        <v>95.0</v>
      </c>
      <c r="B98" s="13" t="s">
        <v>209</v>
      </c>
      <c r="C98" s="13" t="s">
        <v>210</v>
      </c>
      <c r="D98" s="14" t="s">
        <v>126</v>
      </c>
      <c r="E98" s="8" t="s">
        <v>127</v>
      </c>
      <c r="F98" s="8">
        <f t="shared" si="1"/>
        <v>0</v>
      </c>
      <c r="G98" s="10">
        <f t="shared" si="2"/>
        <v>0</v>
      </c>
      <c r="H98" s="15"/>
    </row>
    <row r="99" ht="21.0" customHeight="1">
      <c r="A99" s="12">
        <v>96.0</v>
      </c>
      <c r="B99" s="13" t="s">
        <v>211</v>
      </c>
      <c r="C99" s="13" t="s">
        <v>212</v>
      </c>
      <c r="D99" s="14" t="s">
        <v>126</v>
      </c>
      <c r="E99" s="8" t="s">
        <v>127</v>
      </c>
      <c r="F99" s="8">
        <f t="shared" si="1"/>
        <v>0</v>
      </c>
      <c r="G99" s="10">
        <f t="shared" si="2"/>
        <v>0</v>
      </c>
      <c r="H99" s="15"/>
    </row>
    <row r="100" ht="21.0" customHeight="1">
      <c r="A100" s="7">
        <v>97.0</v>
      </c>
      <c r="B100" s="13" t="s">
        <v>213</v>
      </c>
      <c r="C100" s="13" t="s">
        <v>214</v>
      </c>
      <c r="D100" s="14" t="s">
        <v>93</v>
      </c>
      <c r="E100" s="8" t="s">
        <v>140</v>
      </c>
      <c r="F100" s="8">
        <f t="shared" si="1"/>
        <v>0</v>
      </c>
      <c r="G100" s="10">
        <f t="shared" si="2"/>
        <v>0</v>
      </c>
      <c r="H100" s="15"/>
    </row>
    <row r="101" ht="21.0" customHeight="1">
      <c r="A101" s="7">
        <v>98.0</v>
      </c>
      <c r="B101" s="13" t="s">
        <v>215</v>
      </c>
      <c r="C101" s="13" t="s">
        <v>216</v>
      </c>
      <c r="D101" s="14" t="s">
        <v>93</v>
      </c>
      <c r="E101" s="8" t="s">
        <v>17</v>
      </c>
      <c r="F101" s="8">
        <f t="shared" si="1"/>
        <v>0</v>
      </c>
      <c r="G101" s="10">
        <f t="shared" si="2"/>
        <v>0</v>
      </c>
      <c r="H101" s="15"/>
    </row>
    <row r="102" ht="21.0" customHeight="1">
      <c r="A102" s="7">
        <v>99.0</v>
      </c>
      <c r="B102" s="13" t="s">
        <v>217</v>
      </c>
      <c r="C102" s="13" t="s">
        <v>218</v>
      </c>
      <c r="D102" s="14" t="s">
        <v>219</v>
      </c>
      <c r="E102" s="8" t="s">
        <v>17</v>
      </c>
      <c r="F102" s="8">
        <f t="shared" si="1"/>
        <v>0</v>
      </c>
      <c r="G102" s="10">
        <f t="shared" si="2"/>
        <v>0</v>
      </c>
      <c r="H102" s="15"/>
    </row>
    <row r="103" ht="21.0" customHeight="1">
      <c r="A103" s="12">
        <v>100.0</v>
      </c>
      <c r="B103" s="13" t="s">
        <v>220</v>
      </c>
      <c r="C103" s="13" t="s">
        <v>221</v>
      </c>
      <c r="D103" s="14" t="s">
        <v>219</v>
      </c>
      <c r="E103" s="8" t="s">
        <v>17</v>
      </c>
      <c r="F103" s="8">
        <f t="shared" si="1"/>
        <v>0</v>
      </c>
      <c r="G103" s="10">
        <f t="shared" si="2"/>
        <v>0</v>
      </c>
      <c r="H103" s="15"/>
    </row>
    <row r="104" ht="21.0" customHeight="1">
      <c r="A104" s="12">
        <v>101.0</v>
      </c>
      <c r="B104" s="17" t="s">
        <v>222</v>
      </c>
      <c r="C104" s="13" t="s">
        <v>223</v>
      </c>
      <c r="D104" s="14" t="s">
        <v>219</v>
      </c>
      <c r="E104" s="8" t="s">
        <v>17</v>
      </c>
      <c r="F104" s="8">
        <f t="shared" si="1"/>
        <v>0</v>
      </c>
      <c r="G104" s="10">
        <f t="shared" si="2"/>
        <v>0</v>
      </c>
      <c r="H104" s="15"/>
    </row>
    <row r="105" ht="21.0" customHeight="1">
      <c r="A105" s="12">
        <v>102.0</v>
      </c>
      <c r="B105" s="13" t="s">
        <v>224</v>
      </c>
      <c r="C105" s="13" t="s">
        <v>225</v>
      </c>
      <c r="D105" s="14" t="s">
        <v>219</v>
      </c>
      <c r="E105" s="8" t="s">
        <v>17</v>
      </c>
      <c r="F105" s="8">
        <f t="shared" si="1"/>
        <v>0</v>
      </c>
      <c r="G105" s="10">
        <f t="shared" si="2"/>
        <v>0</v>
      </c>
      <c r="H105" s="15"/>
    </row>
    <row r="106" ht="21.0" customHeight="1">
      <c r="A106" s="7">
        <v>103.0</v>
      </c>
      <c r="B106" s="13" t="s">
        <v>226</v>
      </c>
      <c r="C106" s="13" t="s">
        <v>227</v>
      </c>
      <c r="D106" s="14" t="s">
        <v>219</v>
      </c>
      <c r="E106" s="8" t="s">
        <v>140</v>
      </c>
      <c r="F106" s="8">
        <f t="shared" si="1"/>
        <v>0</v>
      </c>
      <c r="G106" s="10">
        <f t="shared" si="2"/>
        <v>0</v>
      </c>
      <c r="H106" s="15"/>
    </row>
    <row r="107" ht="21.0" customHeight="1">
      <c r="A107" s="7">
        <v>104.0</v>
      </c>
      <c r="B107" s="13" t="s">
        <v>228</v>
      </c>
      <c r="C107" s="13" t="s">
        <v>229</v>
      </c>
      <c r="D107" s="14" t="s">
        <v>219</v>
      </c>
      <c r="E107" s="8" t="s">
        <v>54</v>
      </c>
      <c r="F107" s="8">
        <f t="shared" si="1"/>
        <v>0</v>
      </c>
      <c r="G107" s="10">
        <f t="shared" si="2"/>
        <v>0</v>
      </c>
      <c r="H107" s="15"/>
    </row>
    <row r="108" ht="21.0" customHeight="1">
      <c r="A108" s="7">
        <v>105.0</v>
      </c>
      <c r="B108" s="13" t="s">
        <v>230</v>
      </c>
      <c r="C108" s="13" t="s">
        <v>231</v>
      </c>
      <c r="D108" s="14" t="s">
        <v>219</v>
      </c>
      <c r="E108" s="8" t="s">
        <v>96</v>
      </c>
      <c r="F108" s="8">
        <f t="shared" si="1"/>
        <v>0</v>
      </c>
      <c r="G108" s="10">
        <f t="shared" si="2"/>
        <v>0</v>
      </c>
      <c r="H108" s="15"/>
    </row>
    <row r="109" ht="21.0" customHeight="1">
      <c r="A109" s="12">
        <v>106.0</v>
      </c>
      <c r="B109" s="13" t="s">
        <v>232</v>
      </c>
      <c r="C109" s="13" t="s">
        <v>233</v>
      </c>
      <c r="D109" s="14" t="s">
        <v>234</v>
      </c>
      <c r="E109" s="8" t="s">
        <v>17</v>
      </c>
      <c r="F109" s="8">
        <f t="shared" si="1"/>
        <v>0</v>
      </c>
      <c r="G109" s="10">
        <f t="shared" si="2"/>
        <v>0</v>
      </c>
      <c r="H109" s="15"/>
    </row>
    <row r="110" ht="21.0" customHeight="1">
      <c r="A110" s="12">
        <v>107.0</v>
      </c>
      <c r="B110" s="13" t="s">
        <v>235</v>
      </c>
      <c r="C110" s="13" t="s">
        <v>236</v>
      </c>
      <c r="D110" s="14" t="s">
        <v>234</v>
      </c>
      <c r="E110" s="8" t="s">
        <v>17</v>
      </c>
      <c r="F110" s="8">
        <f t="shared" si="1"/>
        <v>0</v>
      </c>
      <c r="G110" s="10">
        <f t="shared" si="2"/>
        <v>0</v>
      </c>
      <c r="H110" s="15"/>
    </row>
    <row r="111" ht="21.0" customHeight="1">
      <c r="A111" s="12">
        <v>108.0</v>
      </c>
      <c r="B111" s="13" t="s">
        <v>237</v>
      </c>
      <c r="C111" s="13" t="s">
        <v>238</v>
      </c>
      <c r="D111" s="14" t="s">
        <v>234</v>
      </c>
      <c r="E111" s="8" t="s">
        <v>17</v>
      </c>
      <c r="F111" s="8">
        <f t="shared" si="1"/>
        <v>0</v>
      </c>
      <c r="G111" s="10">
        <f t="shared" si="2"/>
        <v>0</v>
      </c>
      <c r="H111" s="15"/>
    </row>
    <row r="112" ht="21.0" customHeight="1">
      <c r="A112" s="7">
        <v>109.0</v>
      </c>
      <c r="B112" s="13" t="s">
        <v>239</v>
      </c>
      <c r="C112" s="13" t="s">
        <v>240</v>
      </c>
      <c r="D112" s="14" t="s">
        <v>234</v>
      </c>
      <c r="E112" s="8" t="s">
        <v>17</v>
      </c>
      <c r="F112" s="8">
        <f t="shared" si="1"/>
        <v>0</v>
      </c>
      <c r="G112" s="10">
        <f t="shared" si="2"/>
        <v>0</v>
      </c>
      <c r="H112" s="15"/>
    </row>
    <row r="113" ht="21.0" customHeight="1">
      <c r="A113" s="7">
        <v>110.0</v>
      </c>
      <c r="B113" s="13" t="s">
        <v>241</v>
      </c>
      <c r="C113" s="13" t="s">
        <v>242</v>
      </c>
      <c r="D113" s="14" t="s">
        <v>234</v>
      </c>
      <c r="E113" s="8" t="s">
        <v>17</v>
      </c>
      <c r="F113" s="8">
        <f t="shared" si="1"/>
        <v>0</v>
      </c>
      <c r="G113" s="10">
        <f t="shared" si="2"/>
        <v>0</v>
      </c>
      <c r="H113" s="15"/>
    </row>
    <row r="114" ht="21.0" customHeight="1">
      <c r="A114" s="7">
        <v>111.0</v>
      </c>
      <c r="B114" s="13" t="s">
        <v>243</v>
      </c>
      <c r="C114" s="13" t="s">
        <v>244</v>
      </c>
      <c r="D114" s="14" t="s">
        <v>234</v>
      </c>
      <c r="E114" s="8" t="s">
        <v>17</v>
      </c>
      <c r="F114" s="8">
        <f t="shared" si="1"/>
        <v>0</v>
      </c>
      <c r="G114" s="10">
        <f t="shared" si="2"/>
        <v>0</v>
      </c>
      <c r="H114" s="15"/>
    </row>
    <row r="115" ht="21.0" customHeight="1">
      <c r="A115" s="12">
        <v>112.0</v>
      </c>
      <c r="B115" s="13" t="s">
        <v>245</v>
      </c>
      <c r="C115" s="13" t="s">
        <v>246</v>
      </c>
      <c r="D115" s="14" t="s">
        <v>234</v>
      </c>
      <c r="E115" s="8" t="s">
        <v>17</v>
      </c>
      <c r="F115" s="8">
        <f t="shared" si="1"/>
        <v>0</v>
      </c>
      <c r="G115" s="10">
        <f t="shared" si="2"/>
        <v>0</v>
      </c>
      <c r="H115" s="15"/>
    </row>
    <row r="116" ht="21.0" customHeight="1">
      <c r="A116" s="12">
        <v>113.0</v>
      </c>
      <c r="B116" s="13" t="s">
        <v>247</v>
      </c>
      <c r="C116" s="13" t="s">
        <v>248</v>
      </c>
      <c r="D116" s="14" t="s">
        <v>234</v>
      </c>
      <c r="E116" s="8" t="s">
        <v>17</v>
      </c>
      <c r="F116" s="8">
        <f t="shared" si="1"/>
        <v>0</v>
      </c>
      <c r="G116" s="10">
        <f t="shared" si="2"/>
        <v>0</v>
      </c>
      <c r="H116" s="15"/>
    </row>
    <row r="117" ht="21.0" customHeight="1">
      <c r="A117" s="12">
        <v>114.0</v>
      </c>
      <c r="B117" s="13" t="s">
        <v>249</v>
      </c>
      <c r="C117" s="13" t="s">
        <v>250</v>
      </c>
      <c r="D117" s="14" t="s">
        <v>234</v>
      </c>
      <c r="E117" s="8" t="s">
        <v>17</v>
      </c>
      <c r="F117" s="8">
        <f t="shared" si="1"/>
        <v>0</v>
      </c>
      <c r="G117" s="10">
        <f t="shared" si="2"/>
        <v>0</v>
      </c>
      <c r="H117" s="15"/>
    </row>
    <row r="118" ht="21.0" customHeight="1">
      <c r="A118" s="7">
        <v>115.0</v>
      </c>
      <c r="B118" s="13" t="s">
        <v>251</v>
      </c>
      <c r="C118" s="13" t="s">
        <v>252</v>
      </c>
      <c r="D118" s="14" t="s">
        <v>234</v>
      </c>
      <c r="E118" s="8" t="s">
        <v>17</v>
      </c>
      <c r="F118" s="8">
        <f t="shared" si="1"/>
        <v>0</v>
      </c>
      <c r="G118" s="10">
        <f t="shared" si="2"/>
        <v>0</v>
      </c>
      <c r="H118" s="15"/>
    </row>
    <row r="119" ht="21.0" customHeight="1">
      <c r="A119" s="7">
        <v>116.0</v>
      </c>
      <c r="B119" s="13" t="s">
        <v>253</v>
      </c>
      <c r="C119" s="13" t="s">
        <v>254</v>
      </c>
      <c r="D119" s="14" t="s">
        <v>234</v>
      </c>
      <c r="E119" s="8" t="s">
        <v>17</v>
      </c>
      <c r="F119" s="8">
        <f t="shared" si="1"/>
        <v>0</v>
      </c>
      <c r="G119" s="10">
        <f t="shared" si="2"/>
        <v>0</v>
      </c>
      <c r="H119" s="15"/>
    </row>
    <row r="120" ht="21.0" customHeight="1">
      <c r="A120" s="12">
        <v>117.0</v>
      </c>
      <c r="B120" s="13" t="s">
        <v>255</v>
      </c>
      <c r="C120" s="13" t="s">
        <v>256</v>
      </c>
      <c r="D120" s="14" t="s">
        <v>234</v>
      </c>
      <c r="E120" s="8" t="s">
        <v>17</v>
      </c>
      <c r="F120" s="8">
        <f t="shared" si="1"/>
        <v>0</v>
      </c>
      <c r="G120" s="10">
        <f t="shared" si="2"/>
        <v>0</v>
      </c>
      <c r="H120" s="15"/>
    </row>
    <row r="121" ht="21.0" customHeight="1">
      <c r="A121" s="12">
        <v>118.0</v>
      </c>
      <c r="B121" s="13" t="s">
        <v>257</v>
      </c>
      <c r="C121" s="13" t="s">
        <v>258</v>
      </c>
      <c r="D121" s="14" t="s">
        <v>259</v>
      </c>
      <c r="E121" s="8" t="s">
        <v>260</v>
      </c>
      <c r="F121" s="8">
        <f t="shared" si="1"/>
        <v>0</v>
      </c>
      <c r="G121" s="10">
        <f t="shared" si="2"/>
        <v>0</v>
      </c>
      <c r="H121" s="15"/>
    </row>
    <row r="122" ht="21.75" customHeight="1">
      <c r="A122" s="12">
        <v>119.0</v>
      </c>
      <c r="B122" s="13" t="s">
        <v>261</v>
      </c>
      <c r="C122" s="13" t="s">
        <v>262</v>
      </c>
      <c r="D122" s="14" t="s">
        <v>263</v>
      </c>
      <c r="E122" s="8" t="s">
        <v>264</v>
      </c>
      <c r="F122" s="8">
        <f t="shared" si="1"/>
        <v>0</v>
      </c>
      <c r="G122" s="10">
        <f t="shared" si="2"/>
        <v>0</v>
      </c>
      <c r="H122" s="15"/>
    </row>
    <row r="123" ht="21.75" customHeight="1">
      <c r="A123" s="7">
        <v>120.0</v>
      </c>
      <c r="B123" s="24" t="s">
        <v>265</v>
      </c>
      <c r="C123" s="24" t="s">
        <v>266</v>
      </c>
      <c r="D123" s="25" t="s">
        <v>263</v>
      </c>
      <c r="E123" s="8" t="s">
        <v>264</v>
      </c>
      <c r="F123" s="16">
        <f t="shared" si="1"/>
        <v>0</v>
      </c>
      <c r="G123" s="10">
        <f t="shared" si="2"/>
        <v>0</v>
      </c>
      <c r="H123" s="26"/>
    </row>
    <row r="124" ht="21.75" customHeight="1">
      <c r="A124" s="7">
        <v>121.0</v>
      </c>
      <c r="B124" s="13" t="s">
        <v>267</v>
      </c>
      <c r="C124" s="13" t="s">
        <v>268</v>
      </c>
      <c r="D124" s="25" t="s">
        <v>263</v>
      </c>
      <c r="E124" s="8" t="s">
        <v>264</v>
      </c>
      <c r="F124" s="27">
        <f t="shared" si="1"/>
        <v>0</v>
      </c>
      <c r="G124" s="28">
        <f t="shared" si="2"/>
        <v>0</v>
      </c>
      <c r="H124" s="26"/>
    </row>
    <row r="125" ht="21.75" customHeight="1">
      <c r="A125" s="12">
        <v>122.0</v>
      </c>
      <c r="B125" s="13" t="s">
        <v>269</v>
      </c>
      <c r="C125" s="13" t="s">
        <v>270</v>
      </c>
      <c r="D125" s="25" t="s">
        <v>263</v>
      </c>
      <c r="E125" s="8" t="s">
        <v>264</v>
      </c>
      <c r="F125" s="27">
        <f t="shared" si="1"/>
        <v>0</v>
      </c>
      <c r="G125" s="28">
        <f t="shared" si="2"/>
        <v>0</v>
      </c>
      <c r="H125" s="26"/>
    </row>
    <row r="126" ht="21.75" customHeight="1">
      <c r="A126" s="12">
        <v>123.0</v>
      </c>
      <c r="B126" s="13" t="s">
        <v>271</v>
      </c>
      <c r="C126" s="13" t="s">
        <v>272</v>
      </c>
      <c r="D126" s="25" t="s">
        <v>263</v>
      </c>
      <c r="E126" s="8" t="s">
        <v>264</v>
      </c>
      <c r="F126" s="27">
        <f t="shared" si="1"/>
        <v>0</v>
      </c>
      <c r="G126" s="28">
        <f t="shared" si="2"/>
        <v>0</v>
      </c>
      <c r="H126" s="26"/>
    </row>
    <row r="127" ht="21.75" customHeight="1">
      <c r="A127" s="12">
        <v>124.0</v>
      </c>
      <c r="B127" s="13" t="s">
        <v>273</v>
      </c>
      <c r="C127" s="13" t="s">
        <v>274</v>
      </c>
      <c r="D127" s="25" t="s">
        <v>263</v>
      </c>
      <c r="E127" s="8" t="s">
        <v>264</v>
      </c>
      <c r="F127" s="27">
        <f t="shared" si="1"/>
        <v>0</v>
      </c>
      <c r="G127" s="28">
        <f t="shared" si="2"/>
        <v>0</v>
      </c>
      <c r="H127" s="26"/>
    </row>
    <row r="128" ht="21.75" customHeight="1">
      <c r="A128" s="7">
        <v>125.0</v>
      </c>
      <c r="B128" s="13" t="s">
        <v>275</v>
      </c>
      <c r="C128" s="13" t="s">
        <v>275</v>
      </c>
      <c r="D128" s="25" t="s">
        <v>263</v>
      </c>
      <c r="E128" s="8" t="s">
        <v>264</v>
      </c>
      <c r="F128" s="27">
        <f t="shared" si="1"/>
        <v>0</v>
      </c>
      <c r="G128" s="28">
        <f t="shared" si="2"/>
        <v>0</v>
      </c>
      <c r="H128" s="26"/>
    </row>
    <row r="129" ht="21.75" customHeight="1">
      <c r="A129" s="7">
        <v>126.0</v>
      </c>
      <c r="B129" s="13" t="s">
        <v>276</v>
      </c>
      <c r="C129" s="13" t="s">
        <v>277</v>
      </c>
      <c r="D129" s="25" t="s">
        <v>263</v>
      </c>
      <c r="E129" s="8" t="s">
        <v>264</v>
      </c>
      <c r="F129" s="27">
        <f t="shared" si="1"/>
        <v>0</v>
      </c>
      <c r="G129" s="28">
        <f t="shared" si="2"/>
        <v>0</v>
      </c>
      <c r="H129" s="26"/>
    </row>
    <row r="130" ht="21.75" customHeight="1">
      <c r="A130" s="12">
        <v>127.0</v>
      </c>
      <c r="B130" s="13" t="s">
        <v>278</v>
      </c>
      <c r="C130" s="13" t="s">
        <v>279</v>
      </c>
      <c r="D130" s="25" t="s">
        <v>263</v>
      </c>
      <c r="E130" s="8" t="s">
        <v>54</v>
      </c>
      <c r="F130" s="27">
        <f t="shared" si="1"/>
        <v>0</v>
      </c>
      <c r="G130" s="28">
        <f t="shared" si="2"/>
        <v>0</v>
      </c>
      <c r="H130" s="26"/>
    </row>
    <row r="131" ht="21.75" customHeight="1">
      <c r="A131" s="12">
        <v>128.0</v>
      </c>
      <c r="B131" s="13" t="s">
        <v>280</v>
      </c>
      <c r="C131" s="13" t="s">
        <v>281</v>
      </c>
      <c r="D131" s="25" t="s">
        <v>259</v>
      </c>
      <c r="E131" s="8" t="s">
        <v>96</v>
      </c>
      <c r="F131" s="27">
        <f t="shared" si="1"/>
        <v>0</v>
      </c>
      <c r="G131" s="28">
        <f t="shared" si="2"/>
        <v>0</v>
      </c>
      <c r="H131" s="26"/>
    </row>
    <row r="132" ht="21.75" customHeight="1">
      <c r="A132" s="12">
        <v>129.0</v>
      </c>
      <c r="B132" s="24" t="s">
        <v>282</v>
      </c>
      <c r="C132" s="24" t="s">
        <v>283</v>
      </c>
      <c r="D132" s="25" t="s">
        <v>284</v>
      </c>
      <c r="E132" s="8" t="s">
        <v>10</v>
      </c>
      <c r="F132" s="24">
        <f t="shared" si="1"/>
        <v>0</v>
      </c>
      <c r="G132" s="28">
        <f t="shared" si="2"/>
        <v>0</v>
      </c>
      <c r="H132" s="26"/>
    </row>
    <row r="133" ht="21.75" customHeight="1">
      <c r="A133" s="7">
        <v>130.0</v>
      </c>
      <c r="B133" s="24" t="s">
        <v>285</v>
      </c>
      <c r="C133" s="24" t="s">
        <v>286</v>
      </c>
      <c r="D133" s="25" t="s">
        <v>284</v>
      </c>
      <c r="E133" s="8" t="s">
        <v>10</v>
      </c>
      <c r="F133" s="24">
        <f t="shared" si="1"/>
        <v>0</v>
      </c>
      <c r="G133" s="28">
        <f t="shared" si="2"/>
        <v>0</v>
      </c>
      <c r="H133" s="26"/>
    </row>
    <row r="134" ht="21.75" customHeight="1">
      <c r="A134" s="7">
        <v>131.0</v>
      </c>
      <c r="B134" s="24" t="s">
        <v>287</v>
      </c>
      <c r="C134" s="24" t="s">
        <v>288</v>
      </c>
      <c r="D134" s="25" t="s">
        <v>284</v>
      </c>
      <c r="E134" s="8" t="s">
        <v>10</v>
      </c>
      <c r="F134" s="24">
        <f t="shared" si="1"/>
        <v>0</v>
      </c>
      <c r="G134" s="28">
        <f t="shared" si="2"/>
        <v>0</v>
      </c>
      <c r="H134" s="26"/>
    </row>
    <row r="135" ht="21.75" customHeight="1">
      <c r="A135" s="12">
        <v>132.0</v>
      </c>
      <c r="B135" s="24" t="s">
        <v>289</v>
      </c>
      <c r="C135" s="24" t="s">
        <v>290</v>
      </c>
      <c r="D135" s="25" t="s">
        <v>284</v>
      </c>
      <c r="E135" s="8" t="s">
        <v>10</v>
      </c>
      <c r="F135" s="24">
        <f t="shared" si="1"/>
        <v>0</v>
      </c>
      <c r="G135" s="28">
        <f t="shared" si="2"/>
        <v>0</v>
      </c>
      <c r="H135" s="26"/>
    </row>
    <row r="136" ht="21.75" customHeight="1">
      <c r="A136" s="12">
        <v>133.0</v>
      </c>
      <c r="B136" s="24" t="s">
        <v>291</v>
      </c>
      <c r="C136" s="24" t="s">
        <v>292</v>
      </c>
      <c r="D136" s="25" t="s">
        <v>284</v>
      </c>
      <c r="E136" s="8" t="s">
        <v>10</v>
      </c>
      <c r="F136" s="24">
        <f t="shared" si="1"/>
        <v>0</v>
      </c>
      <c r="G136" s="28">
        <f t="shared" si="2"/>
        <v>0</v>
      </c>
      <c r="H136" s="26"/>
    </row>
    <row r="137" ht="21.75" customHeight="1">
      <c r="A137" s="12">
        <v>134.0</v>
      </c>
      <c r="B137" s="24" t="s">
        <v>293</v>
      </c>
      <c r="C137" s="24" t="s">
        <v>294</v>
      </c>
      <c r="D137" s="25" t="s">
        <v>284</v>
      </c>
      <c r="E137" s="8" t="s">
        <v>10</v>
      </c>
      <c r="F137" s="24">
        <f t="shared" si="1"/>
        <v>0</v>
      </c>
      <c r="G137" s="28">
        <f t="shared" si="2"/>
        <v>0</v>
      </c>
      <c r="H137" s="26"/>
    </row>
    <row r="138" ht="21.75" customHeight="1">
      <c r="A138" s="7">
        <v>135.0</v>
      </c>
      <c r="B138" s="24" t="s">
        <v>295</v>
      </c>
      <c r="C138" s="24" t="s">
        <v>296</v>
      </c>
      <c r="D138" s="25" t="s">
        <v>284</v>
      </c>
      <c r="E138" s="8" t="s">
        <v>260</v>
      </c>
      <c r="F138" s="24">
        <f t="shared" si="1"/>
        <v>0</v>
      </c>
      <c r="G138" s="28">
        <f t="shared" si="2"/>
        <v>0</v>
      </c>
      <c r="H138" s="26"/>
    </row>
    <row r="139" ht="21.75" customHeight="1">
      <c r="A139" s="12">
        <v>136.0</v>
      </c>
      <c r="B139" s="24" t="s">
        <v>297</v>
      </c>
      <c r="C139" s="24" t="s">
        <v>298</v>
      </c>
      <c r="D139" s="25" t="s">
        <v>284</v>
      </c>
      <c r="E139" s="16" t="s">
        <v>54</v>
      </c>
      <c r="F139" s="24">
        <f t="shared" si="1"/>
        <v>0</v>
      </c>
      <c r="G139" s="28">
        <f t="shared" si="2"/>
        <v>0</v>
      </c>
      <c r="H139" s="26"/>
    </row>
    <row r="140" ht="21.75" customHeight="1">
      <c r="A140" s="12">
        <v>137.0</v>
      </c>
      <c r="B140" s="24" t="s">
        <v>299</v>
      </c>
      <c r="C140" s="24" t="s">
        <v>300</v>
      </c>
      <c r="D140" s="25" t="s">
        <v>259</v>
      </c>
      <c r="E140" s="16" t="s">
        <v>140</v>
      </c>
      <c r="F140" s="24">
        <f t="shared" si="1"/>
        <v>0</v>
      </c>
      <c r="G140" s="28">
        <f t="shared" si="2"/>
        <v>0</v>
      </c>
      <c r="H140" s="26"/>
    </row>
    <row r="141" ht="21.75" customHeight="1">
      <c r="A141" s="7">
        <v>138.0</v>
      </c>
      <c r="B141" s="29" t="s">
        <v>301</v>
      </c>
      <c r="C141" s="29" t="s">
        <v>302</v>
      </c>
      <c r="D141" s="30" t="s">
        <v>259</v>
      </c>
      <c r="E141" s="31" t="s">
        <v>140</v>
      </c>
      <c r="F141" s="29">
        <f t="shared" si="1"/>
        <v>0</v>
      </c>
      <c r="G141" s="32">
        <f t="shared" si="2"/>
        <v>0</v>
      </c>
      <c r="H141" s="33"/>
    </row>
    <row r="142" ht="21.75" customHeight="1">
      <c r="A142" s="12"/>
      <c r="F142" s="34"/>
      <c r="G142" s="35">
        <f>SUM(G3:G123)</f>
        <v>0</v>
      </c>
    </row>
    <row r="143" ht="21.75" customHeight="1">
      <c r="A143" s="12"/>
      <c r="F143" s="34">
        <f>SUM(IFERROR(SUMIF('4.1'!C:C, 'Item Master'!C143, '4.1'!E:E), 0),IFERROR(SUMIF('4.2'!C:C, 'Item Master'!C143, '4.2'!E:E), 0),IFERROR(SUMIF('4.3'!C:C, 'Item Master'!C143, '4.3'!E:E), 0),IFERROR(SUMIF('4.4'!C:C, 'Item Master'!C143, '4.4'!E:E), 0),IFERROR(SUMIF('4.5'!C:C, 'Item Master'!C143, '4.5'!E:E), 0),IFERROR(SUMIF('4.6'!C:C, 'Item Master'!C143, '4.6'!E:E), 0),IFERROR(SUMIF('4.7'!C:C, 'Item Master'!C143, '4.7'!E:E), 0),IFERROR(SUMIF('4.8'!C:C, 'Item Master'!C143, '4.8'!E:E), 0),IFERROR(SUMIF('4.9'!C:C, 'Item Master'!C143, '4.9'!E:E), 0),IFERROR(SUMIF('4.10'!C:C, 'Item Master'!C143, '4.10'!E:E), 0),IFERROR(SUMIF('4.11'!C:C, 'Item Master'!C143, '4.11'!E:E), 0),IFERROR(SUMIF('4.12'!C:C, 'Item Master'!C143, '4.12'!E:E), 0),IFERROR(SUMIF('4.13'!C:C, 'Item Master'!C143, '4.13'!E:E), 0),IFERROR(SUMIF('4.14'!C:C, 'Item Master'!C143, '4.14'!E:E), 0),IFERROR(SUMIF('4.15'!C:C, 'Item Master'!C143, '4.15'!E:E), 0),IFERROR(SUMIF('4.16'!C:C, 'Item Master'!C143, '4.16'!E:E), 0),IFERROR(SUMIF('4.17'!C:C, 'Item Master'!C143, '4.17'!E:E), 0),IFERROR(SUMIF('4.18'!C:C, 'Item Master'!C143, '4.18'!E:E), 0),IFERROR(SUMIF('4.19'!C:C, 'Item Master'!C143, '4.19'!E:E), 0),IFERROR(SUMIF('4.20'!C:C, 'Item Master'!C143, '4.20'!E:E), 0),IFERROR(SUMIF('4.21'!C:C, 'Item Master'!C143, '4.21'!E:E), 0),IFERROR(SUMIF('4.22'!C:C, 'Item Master'!C143, '4.22'!E:E), 0),IFERROR(SUMIF('4.23'!C:C, 'Item Master'!C143, '4.23'!E:E), 0),IFERROR(SUMIF('4.24'!C:C, 'Item Master'!C143, '4.24'!E:E), 0),IFERROR(SUMIF('4.25'!C:C, 'Item Master'!C143, '4.25'!E:E), 0),IFERROR(SUMIF('4.26'!C:C, 'Item Master'!C143, '4.26'!E:E), 0),IFERROR(SUMIF('4.27'!C:C, 'Item Master'!C143, '4.27'!E:E), 0),IFERROR(SUMIF('4.28'!C:C, 'Item Master'!C143, '4.28'!E:E), 0),IFERROR(SUMIF('4.29'!C:C, 'Item Master'!C143, '4.29'!E:E), 0),IFERROR(SUMIF('4.30'!C:C, 'Item Master'!C143, '4.30'!E:E), 0))</f>
        <v>0</v>
      </c>
      <c r="G143" s="35">
        <f>SUM(IFERROR(SUMIF('4.1'!C:C, 'Item Master'!C143, '4.1'!G:G), 0),IFERROR(SUMIF('4.2'!C:C, 'Item Master'!C143, '4.2'!G:G), 0),IFERROR(SUMIF('4.3'!C:C, 'Item Master'!C143, '4.3'!G:G), 0),IFERROR(SUMIF('4.4'!C:C, 'Item Master'!C143, '4.4'!G:G), 0),IFERROR(SUMIF('4.5'!C:C, 'Item Master'!C143, '4.5'!G:G), 0),IFERROR(SUMIF('4.6'!C:C, 'Item Master'!C143, '4.6'!G:G), 0),IFERROR(SUMIF('4.7'!C:C, 'Item Master'!C143, '4.7'!G:G), 0),IFERROR(SUMIF('4.8'!C:C, 'Item Master'!C143, '4.8'!G:G), 0),IFERROR(SUMIF('4.9'!C:C, 'Item Master'!C143, '4.9'!G:G), 0),IFERROR(SUMIF('4.10'!C:C, 'Item Master'!C143, '4.10'!G:G), 0),IFERROR(SUMIF('4.11'!C:C, 'Item Master'!C143, '4.11'!G:G), 0),IFERROR(SUMIF('4.12'!C:C, 'Item Master'!C143, '4.12'!G:G), 0),IFERROR(SUMIF('4.13'!C:C, 'Item Master'!C143, '4.13'!G:G), 0),IFERROR(SUMIF('4.14'!C:C, 'Item Master'!C143, '4.14'!G:G), 0),IFERROR(SUMIF('4.15'!C:C, 'Item Master'!C143, '4.15'!G:G), 0),IFERROR(SUMIF('4.16'!C:C, 'Item Master'!C143, '4.16'!G:G), 0),IFERROR(SUMIF('4.17'!C:C, 'Item Master'!C143, '4.17'!G:G), 0),IFERROR(SUMIF('4.18'!C:C, 'Item Master'!C143, '4.18'!G:G), 0),IFERROR(SUMIF('4.19'!C:C, 'Item Master'!C143, '4.19'!G:G), 0),IFERROR(SUMIF('4.20'!C:C, 'Item Master'!C143, '4.20'!G:G), 0),IFERROR(SUMIF('4.21'!C:C, 'Item Master'!C143, '4.21'!G:G), 0),IFERROR(SUMIF('4.22'!C:C, 'Item Master'!C143, '4.22'!G:G), 0),IFERROR(SUMIF('4.23'!C:C, 'Item Master'!C143, '4.23'!G:G), 0),IFERROR(SUMIF('4.24'!C:C, 'Item Master'!C143, '4.24'!G:G), 0),IFERROR(SUMIF('4.25'!C:C, 'Item Master'!C143, '4.25'!G:G), 0),IFERROR(SUMIF('4.26'!C:C, 'Item Master'!C143, '4.26'!G:G), 0),IFERROR(SUMIF('4.27'!C:C, 'Item Master'!C143, '4.27'!G:G), 0),IFERROR(SUMIF('4.28'!C:C, 'Item Master'!C143, '4.28'!G:G), 0),IFERROR(SUMIF('4.29'!C:C, 'Item Master'!C143, '4.29'!G:G), 0),IFERROR(SUMIF('4.30'!C:C, 'Item Master'!C143, '4.30'!G:G), 0))</f>
        <v>0</v>
      </c>
    </row>
  </sheetData>
  <mergeCells count="1">
    <mergeCell ref="A2:H2"/>
  </mergeCells>
  <conditionalFormatting sqref="E39:E44">
    <cfRule type="expression" dxfId="0" priority="1">
      <formula>AND($J28=$M$3, $M$3&lt;&gt;"")</formula>
    </cfRule>
  </conditionalFormatting>
  <conditionalFormatting sqref="B39:G44">
    <cfRule type="expression" dxfId="0" priority="2">
      <formula>AND($F39=$I$3, $I$3&lt;&gt;"")</formula>
    </cfRule>
  </conditionalFormatting>
  <conditionalFormatting sqref="B57:G57">
    <cfRule type="expression" dxfId="0" priority="3">
      <formula>AND($F57=$I$3, $I$3&lt;&gt;"")</formula>
    </cfRule>
  </conditionalFormatting>
  <conditionalFormatting sqref="E57">
    <cfRule type="expression" dxfId="0" priority="4">
      <formula>AND($J33=$M$3, $M$3&lt;&gt;"")</formula>
    </cfRule>
  </conditionalFormatting>
  <conditionalFormatting sqref="E4:E39 E45:E56 E58:E141">
    <cfRule type="expression" dxfId="0" priority="5">
      <formula>AND($J4=$M$3, $M$3&lt;&gt;"")</formula>
    </cfRule>
  </conditionalFormatting>
  <conditionalFormatting sqref="A4:A143 B4:D38 E4:E39 F4:G38 B45:G56 B58:C123 D58:E141 F58:F123 G58:G141">
    <cfRule type="expression" dxfId="0" priority="6">
      <formula>AND($F4=$I$3, $I$3&lt;&gt;"")</formula>
    </cfRule>
  </conditionalFormatting>
  <dataValidations>
    <dataValidation type="list" allowBlank="1" showErrorMessage="1" sqref="D4:D37 D39:D141">
      <formula1>"无,Frt &amp; Veg/蔬果,Meat/肉类,Seafood/海鲜,Cond/调料,Egg/蛋类,Staple/主食类,Proc/加工类,一次性用品,其他杂项,酒水"</formula1>
    </dataValidation>
    <dataValidation type="list" allowBlank="1" showErrorMessage="1" sqref="H4:H141">
      <formula1>"中央Pasar,阿發 🥬,brad 🐂,李刘农业 🐓,Food Town 🛒,Servay/实威 🛒,Hong Seng,捷成/Jetsin ,渔船码头 🐟,燃气 🔥,MR DIY 🛠️,其他供应商,YONG &amp; SONS"</formula1>
    </dataValidation>
    <dataValidation type="list" allowBlank="1" showErrorMessage="1" sqref="E4:E141">
      <formula1>"无,kg / 公斤,L / 公升,pcs / 个,bottle / 瓶,pack / 包,bag / 袋,box / 盒,carton / 箱,bundle / 扎,tray / 托盘,pail / 桶,jar / 罐,roll / 卷"</formula1>
    </dataValidation>
    <dataValidation type="list" allowBlank="1" showErrorMessage="1" sqref="D38">
      <formula1>"无,Frt &amp; veg /蔬果,Meat/肉类,Seafood/海鲜,Cond/调料,Egg/蛋类,Staple/主食类,Proc/加工类,一次性用品,其他杂项,酒水"</formula1>
    </dataValidation>
  </dataValidations>
  <drawing r:id="rId1"/>
</worksheet>
</file>